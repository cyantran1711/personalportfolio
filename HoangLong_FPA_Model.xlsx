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Assumptions" sheetId="1" state="visible" r:id="rId3"/>
    <sheet name="2_PL_Forecast" sheetId="2" state="visible" r:id="rId4"/>
    <sheet name="3_Variance_Analysis" sheetId="3" state="visible" r:id="rId5"/>
    <sheet name="4_CashFlow_Forecast" sheetId="4" state="visible" r:id="rId6"/>
    <sheet name="5_Management_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<sst xmlns="http://schemas.openxmlformats.org/spreadsheetml/2006/main" count="203" uniqueCount="144">
  <si>
    <t xml:space="preserve">HOANG LONG TRADING CO. — FP&amp;A MODEL</t>
  </si>
  <si>
    <t xml:space="preserve">Tab 1: Assumptions &amp; Drivers  |  All monetary values in million VND (triệu đồng)</t>
  </si>
  <si>
    <t xml:space="preserve">COLOR CODE:  Blue = hardcoded input (you can change)  |  Green = linked from another tab  |  Black = formula</t>
  </si>
  <si>
    <t xml:space="preserve">SECTION 0 – SCENARIO SELECTOR</t>
  </si>
  <si>
    <t xml:space="preserve">Base</t>
  </si>
  <si>
    <t xml:space="preserve">Upside</t>
  </si>
  <si>
    <t xml:space="preserve">Downside</t>
  </si>
  <si>
    <t xml:space="preserve">Notes</t>
  </si>
  <si>
    <t xml:space="preserve">Active Scenario (type: Base / Upside / Downside)</t>
  </si>
  <si>
    <t xml:space="preserve">Change this cell to switch scenario across all tabs</t>
  </si>
  <si>
    <t xml:space="preserve">SECTION 1 – REVENUE DRIVERS</t>
  </si>
  <si>
    <t xml:space="preserve">Assumption</t>
  </si>
  <si>
    <t xml:space="preserve">Annual Revenue – Year 1 (triệu VND)</t>
  </si>
  <si>
    <t xml:space="preserve">Starting revenue baseline</t>
  </si>
  <si>
    <t xml:space="preserve">YoY Revenue Growth Rate</t>
  </si>
  <si>
    <t xml:space="preserve">Applied to prior year revenue</t>
  </si>
  <si>
    <t xml:space="preserve">Avg Selling Price per Unit (triệu VND)</t>
  </si>
  <si>
    <t xml:space="preserve">For unit volume calc</t>
  </si>
  <si>
    <t xml:space="preserve">Sales Volume – Year 1 (units)</t>
  </si>
  <si>
    <t xml:space="preserve">Revenue divided by Avg Price</t>
  </si>
  <si>
    <t xml:space="preserve">Volume Growth Rate (YoY)</t>
  </si>
  <si>
    <t xml:space="preserve">SECTION 2 – MARGIN DRIVERS</t>
  </si>
  <si>
    <t xml:space="preserve">COGS as % of Revenue</t>
  </si>
  <si>
    <t xml:space="preserve">Cost of goods sold / revenue</t>
  </si>
  <si>
    <t xml:space="preserve">Gross Margin %</t>
  </si>
  <si>
    <t xml:space="preserve">1 minus COGS pct (auto-calc reference)</t>
  </si>
  <si>
    <t xml:space="preserve">Selling &amp; Distribution Expense %</t>
  </si>
  <si>
    <t xml:space="preserve">% of revenue</t>
  </si>
  <si>
    <t xml:space="preserve">General &amp; Admin Expense %</t>
  </si>
  <si>
    <t xml:space="preserve">Depreciation (triệu VND / year)</t>
  </si>
  <si>
    <t xml:space="preserve">Fixed asset depreciation</t>
  </si>
  <si>
    <t xml:space="preserve">Interest Expense (triệu VND / year)</t>
  </si>
  <si>
    <t xml:space="preserve">Bank loan interest</t>
  </si>
  <si>
    <t xml:space="preserve">Corporate Income Tax Rate</t>
  </si>
  <si>
    <t xml:space="preserve">Standard CIT Vietnam = 20%</t>
  </si>
  <si>
    <t xml:space="preserve">SECTION 3 – WORKING CAPITAL &amp; CASH CYCLE</t>
  </si>
  <si>
    <t xml:space="preserve">Days Sales Outstanding – DSO (days)</t>
  </si>
  <si>
    <t xml:space="preserve">AR collection period</t>
  </si>
  <si>
    <t xml:space="preserve">Days Payable Outstanding – DPO (days)</t>
  </si>
  <si>
    <t xml:space="preserve">Supplier payment period</t>
  </si>
  <si>
    <t xml:space="preserve">Days Inventory Outstanding – DIO (days)</t>
  </si>
  <si>
    <t xml:space="preserve">Inventory holding period</t>
  </si>
  <si>
    <t xml:space="preserve">Opening Cash Balance (triệu VND)</t>
  </si>
  <si>
    <t xml:space="preserve">Jan Year 1 opening cash</t>
  </si>
  <si>
    <t xml:space="preserve">Capex (triệu VND / year)</t>
  </si>
  <si>
    <t xml:space="preserve">Capital expenditures</t>
  </si>
  <si>
    <t xml:space="preserve">SECTION 4 – OTHER</t>
  </si>
  <si>
    <t xml:space="preserve">Headcount</t>
  </si>
  <si>
    <t xml:space="preserve">Total employees</t>
  </si>
  <si>
    <t xml:space="preserve">Avg Salary (triệu VND/month)</t>
  </si>
  <si>
    <t xml:space="preserve">Per employee</t>
  </si>
  <si>
    <t xml:space="preserve">Annual Salary Increase %</t>
  </si>
  <si>
    <t xml:space="preserve">YoY salary growth</t>
  </si>
  <si>
    <t xml:space="preserve">HOANG LONG TRADING CO. — P&amp;L FORECAST  |  Year 1 (Monthly)</t>
  </si>
  <si>
    <t xml:space="preserve">Values in million VND (triệu đồng)  |  Actuals: Jan–Mar  |  Forecast: Apr–Dec  |  Scenario: Base</t>
  </si>
  <si>
    <t xml:space="preserve">◀ ACTUAL ▶</t>
  </si>
  <si>
    <t xml:space="preserve">◀─────────────────── FORECAST ───────────────────▶</t>
  </si>
  <si>
    <t xml:space="preserve">Line Item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</si>
  <si>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</si>
  <si>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</si>
  <si>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</si>
  <si>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</si>
  <si>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</si>
  <si>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</si>
  <si>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</si>
  <si>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</si>
  <si>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</si>
  <si>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</si>
  <si>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</si>
  <si>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</si>
  <si>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Full Year</t>
  </si>
  <si>
    <t xml:space="preserve">REVENUE</t>
  </si>
  <si>
    <t xml:space="preserve">Gross Revenue</t>
  </si>
  <si>
    <t xml:space="preserve">Returns &amp; Discounts</t>
  </si>
  <si>
    <t xml:space="preserve">Net Revenue</t>
  </si>
  <si>
    <t xml:space="preserve">COST OF GOODS SOLD</t>
  </si>
  <si>
    <t xml:space="preserve">Cost of Goods Sold</t>
  </si>
  <si>
    <t xml:space="preserve">Gross Profit</t>
  </si>
  <si>
    <t xml:space="preserve">  Gross Margin %</t>
  </si>
  <si>
    <t xml:space="preserve">OPERATING EXPENSES</t>
  </si>
  <si>
    <t xml:space="preserve">Selling &amp; Distribution Expense</t>
  </si>
  <si>
    <t xml:space="preserve">General &amp; Admin Expense</t>
  </si>
  <si>
    <t xml:space="preserve">Depreciation</t>
  </si>
  <si>
    <t xml:space="preserve">Total Operating Expenses</t>
  </si>
  <si>
    <t xml:space="preserve">EARNINGS</t>
  </si>
  <si>
    <t xml:space="preserve">EBIT (Operating Profit)</t>
  </si>
  <si>
    <t xml:space="preserve">  EBIT Margin %</t>
  </si>
  <si>
    <t xml:space="preserve">Interest Expense</t>
  </si>
  <si>
    <t xml:space="preserve">EBT (Profit Before Tax)</t>
  </si>
  <si>
    <t xml:space="preserve">Corporate Income Tax (20%)</t>
  </si>
  <si>
    <t xml:space="preserve">Net Profit</t>
  </si>
  <si>
    <t xml:space="preserve">  Net Profit Margin %</t>
  </si>
  <si>
    <t xml:space="preserve">HOANG LONG TRADING CO. — ACTUAL vs BUDGET VARIANCE  |  Year 1</t>
  </si>
  <si>
    <t xml:space="preserve">Values in million VND  |  Actuals: Jan–Mar  |  Budget: Full Year  |  Variance = Actual – Budget  |  Red = unfavorable</t>
  </si>
  <si>
    <t xml:space="preserve">YTD = Jan–Mar (3 months actual vs 3-month budget slice)</t>
  </si>
  <si>
    <t xml:space="preserve">Budget YTD (A)</t>
  </si>
  <si>
    <t xml:space="preserve">Actual YTD (B)</t>
  </si>
  <si>
    <t xml:space="preserve">Variance (B–A)</t>
  </si>
  <si>
    <t xml:space="preserve">Var %</t>
  </si>
  <si>
    <t xml:space="preserve">Commentary</t>
  </si>
  <si>
    <t xml:space="preserve">Selling &amp; Distribution</t>
  </si>
  <si>
    <t xml:space="preserve">Logistics cost spike in Feb</t>
  </si>
  <si>
    <t xml:space="preserve">General &amp; Admin</t>
  </si>
  <si>
    <t xml:space="preserve">EBIT</t>
  </si>
  <si>
    <t xml:space="preserve">EBIT Margin %</t>
  </si>
  <si>
    <t xml:space="preserve">Net Profit Margin %</t>
  </si>
  <si>
    <t xml:space="preserve">NOTE: Manually apply conditional formatting to column D — red fill for unfavorable variances (expenses &gt; budget or revenue &lt; budget)</t>
  </si>
  <si>
    <t xml:space="preserve">HOANG LONG TRADING CO. — ROLLING CASH FLOW FORECAST  |  3-Month View</t>
  </si>
  <si>
    <t xml:space="preserve">Values in million VND  |  Indirect method  |  Rolling: Apr–Jun (update monthly)</t>
  </si>
  <si>
    <t xml:space="preserve">Q2 Total</t>
  </si>
  <si>
    <t xml:space="preserve">OPENING &amp; CLOSING BALANCE</t>
  </si>
  <si>
    <t xml:space="preserve">Opening Cash Balance</t>
  </si>
  <si>
    <t xml:space="preserve">OPERATING CASH FLOW</t>
  </si>
  <si>
    <t xml:space="preserve">Net Profit (from P&amp;L)</t>
  </si>
  <si>
    <t xml:space="preserve">Add back: Depreciation</t>
  </si>
  <si>
    <t xml:space="preserve">(Increase)/Decrease in AR</t>
  </si>
  <si>
    <t xml:space="preserve">Increase/(Decrease) in AP</t>
  </si>
  <si>
    <t xml:space="preserve">Total Operating Cash Flow</t>
  </si>
  <si>
    <t xml:space="preserve">INVESTING CASH FLOW</t>
  </si>
  <si>
    <t xml:space="preserve">Capital Expenditures (Capex)</t>
  </si>
  <si>
    <t xml:space="preserve">Total Investing Cash Flow</t>
  </si>
  <si>
    <t xml:space="preserve">FINANCING CASH FLOW</t>
  </si>
  <si>
    <t xml:space="preserve">Loan Repayment (principal)</t>
  </si>
  <si>
    <t xml:space="preserve">Total Financing Cash Flow</t>
  </si>
  <si>
    <t xml:space="preserve">NET CASH MOVEMENT &amp; CLOSING BALANCE</t>
  </si>
  <si>
    <t xml:space="preserve">Net Cash Movement</t>
  </si>
  <si>
    <t xml:space="preserve">Closing Cash Balance</t>
  </si>
  <si>
    <t xml:space="preserve">HOANG LONG TRADING CO. — MANAGEMENT SUMMARY  |  Year 1</t>
  </si>
  <si>
    <t xml:space="preserve">Scenario: Base  |  All values in million VND  |  For Board / GD review</t>
  </si>
  <si>
    <t xml:space="preserve">KEY PERFORMANCE INDICATORS (FULL YEAR FORECAST)</t>
  </si>
  <si>
    <t xml:space="preserve">Full Year Revenue</t>
  </si>
  <si>
    <t xml:space="preserve">MONTHLY REVENUE &amp; PROFIT TREND</t>
  </si>
  <si>
    <t xml:space="preserve">Month</t>
  </si>
  <si>
    <t xml:space="preserve">YTD VARIANCE SUMMARY (Jan–Mar)</t>
  </si>
  <si>
    <t xml:space="preserve">Metric</t>
  </si>
  <si>
    <t xml:space="preserve">Budget YTD</t>
  </si>
  <si>
    <t xml:space="preserve">Actual YTD</t>
  </si>
  <si>
    <t xml:space="preserve">Variance</t>
  </si>
  <si>
    <t xml:space="preserve">CASH POSITION (Q2 ROLLING FORECAST)</t>
  </si>
  <si>
    <t xml:space="preserve">Apr Opening Cash</t>
  </si>
  <si>
    <t xml:space="preserve">Apr Net Cash Movement</t>
  </si>
  <si>
    <t xml:space="preserve">Apr Closing Cash</t>
  </si>
  <si>
    <t xml:space="preserve">May Closing Cash</t>
  </si>
  <si>
    <t xml:space="preserve">Jun Closing Cash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</si>
</sst>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;\(0.0%\)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611A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00611A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2F2F2"/>
        <bgColor rgb="FFDEEAF1"/>
      </patternFill>
    </fill>
    <fill>
      <patternFill patternType="solid">
        <fgColor rgb="FFBDD7EE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rgb="FFDEEAF1"/>
        <bgColor rgb="FFF2F2F2"/>
      </patternFill>
    </fill>
    <fill>
      <patternFill patternType="solid">
        <fgColor rgb="FF4472C4"/>
        <bgColor rgb="FF2F54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1A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2F2F2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6"/>
    <col collapsed="false" customWidth="true" hidden="false" outlineLevel="0" max="5" min="5" style="1" width="28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</row>
    <row r="5" customFormat="false" ht="15.75" hidden="false" customHeight="true" outlineLevel="0" collapsed="false">
      <c r="A5" s="5" t="s">
        <v>3</v>
      </c>
      <c r="B5" s="5"/>
      <c r="C5" s="5"/>
      <c r="D5" s="5"/>
      <c r="E5" s="5"/>
    </row>
    <row r="6" customFormat="false" ht="15" hidden="false" customHeight="true" outlineLevel="0" collapsed="false">
      <c r="A6" s="6"/>
      <c r="B6" s="6" t="s">
        <v>4</v>
      </c>
      <c r="C6" s="6" t="s">
        <v>5</v>
      </c>
      <c r="D6" s="6" t="s">
        <v>6</v>
      </c>
      <c r="E6" s="6" t="s">
        <v>7</v>
      </c>
    </row>
    <row r="7" customFormat="false" ht="15" hidden="false" customHeight="true" outlineLevel="0" collapsed="false">
      <c r="A7" s="7" t="s">
        <v>8</v>
      </c>
      <c r="B7" s="8" t="s">
        <v>4</v>
      </c>
      <c r="C7" s="8"/>
      <c r="D7" s="8"/>
      <c r="E7" s="9" t="s">
        <v>9</v>
      </c>
    </row>
    <row r="9" customFormat="false" ht="15.75" hidden="false" customHeight="true" outlineLevel="0" collapsed="false">
      <c r="A9" s="5" t="s">
        <v>10</v>
      </c>
      <c r="B9" s="5"/>
      <c r="C9" s="5"/>
      <c r="D9" s="5"/>
      <c r="E9" s="5"/>
    </row>
    <row r="10" customFormat="false" ht="15" hidden="false" customHeight="true" outlineLevel="0" collapsed="false">
      <c r="A10" s="6" t="s">
        <v>11</v>
      </c>
      <c r="B10" s="6" t="s">
        <v>4</v>
      </c>
      <c r="C10" s="6" t="s">
        <v>5</v>
      </c>
      <c r="D10" s="6" t="s">
        <v>6</v>
      </c>
      <c r="E10" s="6" t="s">
        <v>7</v>
      </c>
    </row>
    <row r="11" customFormat="false" ht="15" hidden="false" customHeight="true" outlineLevel="0" collapsed="false">
      <c r="A11" s="10" t="s">
        <v>12</v>
      </c>
      <c r="B11" s="11" t="n">
        <v>60000</v>
      </c>
      <c r="C11" s="12" t="n">
        <v>72000</v>
      </c>
      <c r="D11" s="12" t="n">
        <v>48000</v>
      </c>
      <c r="E11" s="9" t="s">
        <v>13</v>
      </c>
    </row>
    <row r="12" customFormat="false" ht="15" hidden="false" customHeight="true" outlineLevel="0" collapsed="false">
      <c r="A12" s="10" t="s">
        <v>14</v>
      </c>
      <c r="B12" s="13" t="n">
        <v>0.08</v>
      </c>
      <c r="C12" s="14" t="n">
        <v>0.15</v>
      </c>
      <c r="D12" s="14" t="n">
        <v>0.03</v>
      </c>
      <c r="E12" s="9" t="s">
        <v>15</v>
      </c>
    </row>
    <row r="13" customFormat="false" ht="15" hidden="false" customHeight="true" outlineLevel="0" collapsed="false">
      <c r="A13" s="10" t="s">
        <v>16</v>
      </c>
      <c r="B13" s="11" t="n">
        <v>0.5</v>
      </c>
      <c r="C13" s="12" t="n">
        <v>0.55</v>
      </c>
      <c r="D13" s="12" t="n">
        <v>0.45</v>
      </c>
      <c r="E13" s="9" t="s">
        <v>17</v>
      </c>
    </row>
    <row r="14" customFormat="false" ht="15" hidden="false" customHeight="true" outlineLevel="0" collapsed="false">
      <c r="A14" s="10" t="s">
        <v>18</v>
      </c>
      <c r="B14" s="11" t="n">
        <v>120000</v>
      </c>
      <c r="C14" s="12" t="n">
        <v>130800</v>
      </c>
      <c r="D14" s="12" t="n">
        <v>106667</v>
      </c>
      <c r="E14" s="9" t="s">
        <v>19</v>
      </c>
    </row>
    <row r="15" customFormat="false" ht="15" hidden="false" customHeight="true" outlineLevel="0" collapsed="false">
      <c r="A15" s="10" t="s">
        <v>20</v>
      </c>
      <c r="B15" s="13" t="n">
        <v>0.05</v>
      </c>
      <c r="C15" s="14" t="n">
        <v>0.1</v>
      </c>
      <c r="D15" s="14" t="n">
        <v>0.02</v>
      </c>
    </row>
    <row r="17" customFormat="false" ht="15.75" hidden="false" customHeight="true" outlineLevel="0" collapsed="false">
      <c r="A17" s="5" t="s">
        <v>21</v>
      </c>
      <c r="B17" s="5"/>
      <c r="C17" s="5"/>
      <c r="D17" s="5"/>
      <c r="E17" s="5"/>
    </row>
    <row r="18" customFormat="false" ht="15" hidden="false" customHeight="true" outlineLevel="0" collapsed="false">
      <c r="A18" s="6" t="s">
        <v>11</v>
      </c>
      <c r="B18" s="6" t="s">
        <v>4</v>
      </c>
      <c r="C18" s="6" t="s">
        <v>5</v>
      </c>
      <c r="D18" s="6" t="s">
        <v>6</v>
      </c>
      <c r="E18" s="6" t="s">
        <v>7</v>
      </c>
    </row>
    <row r="19" customFormat="false" ht="15" hidden="false" customHeight="true" outlineLevel="0" collapsed="false">
      <c r="A19" s="10" t="s">
        <v>22</v>
      </c>
      <c r="B19" s="13" t="n">
        <v>0.65</v>
      </c>
      <c r="C19" s="14" t="n">
        <v>0.6</v>
      </c>
      <c r="D19" s="14" t="n">
        <v>0.7</v>
      </c>
      <c r="E19" s="9" t="s">
        <v>23</v>
      </c>
    </row>
    <row r="20" customFormat="false" ht="15" hidden="false" customHeight="true" outlineLevel="0" collapsed="false">
      <c r="A20" s="10" t="s">
        <v>24</v>
      </c>
      <c r="B20" s="13" t="n">
        <v>0.35</v>
      </c>
      <c r="C20" s="14" t="n">
        <v>0.4</v>
      </c>
      <c r="D20" s="14" t="n">
        <v>0.3</v>
      </c>
      <c r="E20" s="9" t="s">
        <v>25</v>
      </c>
    </row>
    <row r="21" customFormat="false" ht="15" hidden="false" customHeight="true" outlineLevel="0" collapsed="false">
      <c r="A21" s="10" t="s">
        <v>26</v>
      </c>
      <c r="B21" s="13" t="n">
        <v>0.08</v>
      </c>
      <c r="C21" s="14" t="n">
        <v>0.07</v>
      </c>
      <c r="D21" s="14" t="n">
        <v>0.09</v>
      </c>
      <c r="E21" s="9" t="s">
        <v>27</v>
      </c>
    </row>
    <row r="22" customFormat="false" ht="15" hidden="false" customHeight="true" outlineLevel="0" collapsed="false">
      <c r="A22" s="10" t="s">
        <v>28</v>
      </c>
      <c r="B22" s="13" t="n">
        <v>0.06</v>
      </c>
      <c r="C22" s="14" t="n">
        <v>0.05</v>
      </c>
      <c r="D22" s="14" t="n">
        <v>0.07</v>
      </c>
      <c r="E22" s="9" t="s">
        <v>27</v>
      </c>
    </row>
    <row r="23" customFormat="false" ht="15" hidden="false" customHeight="true" outlineLevel="0" collapsed="false">
      <c r="A23" s="10" t="s">
        <v>29</v>
      </c>
      <c r="B23" s="11" t="n">
        <v>600</v>
      </c>
      <c r="C23" s="12" t="n">
        <v>500</v>
      </c>
      <c r="D23" s="12" t="n">
        <v>700</v>
      </c>
      <c r="E23" s="9" t="s">
        <v>30</v>
      </c>
    </row>
    <row r="24" customFormat="false" ht="15" hidden="false" customHeight="true" outlineLevel="0" collapsed="false">
      <c r="A24" s="10" t="s">
        <v>31</v>
      </c>
      <c r="B24" s="11" t="n">
        <v>400</v>
      </c>
      <c r="C24" s="12" t="n">
        <v>300</v>
      </c>
      <c r="D24" s="12" t="n">
        <v>600</v>
      </c>
      <c r="E24" s="9" t="s">
        <v>32</v>
      </c>
    </row>
    <row r="25" customFormat="false" ht="15" hidden="false" customHeight="true" outlineLevel="0" collapsed="false">
      <c r="A25" s="10" t="s">
        <v>33</v>
      </c>
      <c r="B25" s="13" t="n">
        <v>0.2</v>
      </c>
      <c r="C25" s="14" t="n">
        <v>0.2</v>
      </c>
      <c r="D25" s="14" t="n">
        <v>0.2</v>
      </c>
      <c r="E25" s="9" t="s">
        <v>34</v>
      </c>
    </row>
    <row r="27" customFormat="false" ht="15.75" hidden="false" customHeight="true" outlineLevel="0" collapsed="false">
      <c r="A27" s="5" t="s">
        <v>35</v>
      </c>
      <c r="B27" s="5"/>
      <c r="C27" s="5"/>
      <c r="D27" s="5"/>
      <c r="E27" s="5"/>
    </row>
    <row r="28" customFormat="false" ht="15" hidden="false" customHeight="true" outlineLevel="0" collapsed="false">
      <c r="A28" s="6" t="s">
        <v>11</v>
      </c>
      <c r="B28" s="6" t="s">
        <v>4</v>
      </c>
      <c r="C28" s="6" t="s">
        <v>5</v>
      </c>
      <c r="D28" s="6" t="s">
        <v>6</v>
      </c>
      <c r="E28" s="6" t="s">
        <v>7</v>
      </c>
    </row>
    <row r="29" customFormat="false" ht="15" hidden="false" customHeight="true" outlineLevel="0" collapsed="false">
      <c r="A29" s="10" t="s">
        <v>36</v>
      </c>
      <c r="B29" s="11" t="n">
        <v>45</v>
      </c>
      <c r="C29" s="12" t="n">
        <v>30</v>
      </c>
      <c r="D29" s="12" t="n">
        <v>60</v>
      </c>
      <c r="E29" s="9" t="s">
        <v>37</v>
      </c>
    </row>
    <row r="30" customFormat="false" ht="15" hidden="false" customHeight="true" outlineLevel="0" collapsed="false">
      <c r="A30" s="10" t="s">
        <v>38</v>
      </c>
      <c r="B30" s="11" t="n">
        <v>30</v>
      </c>
      <c r="C30" s="12" t="n">
        <v>45</v>
      </c>
      <c r="D30" s="12" t="n">
        <v>20</v>
      </c>
      <c r="E30" s="9" t="s">
        <v>39</v>
      </c>
    </row>
    <row r="31" customFormat="false" ht="15" hidden="false" customHeight="true" outlineLevel="0" collapsed="false">
      <c r="A31" s="10" t="s">
        <v>40</v>
      </c>
      <c r="B31" s="11" t="n">
        <v>60</v>
      </c>
      <c r="C31" s="12" t="n">
        <v>45</v>
      </c>
      <c r="D31" s="12" t="n">
        <v>75</v>
      </c>
      <c r="E31" s="9" t="s">
        <v>41</v>
      </c>
    </row>
    <row r="32" customFormat="false" ht="15" hidden="false" customHeight="true" outlineLevel="0" collapsed="false">
      <c r="A32" s="10" t="s">
        <v>42</v>
      </c>
      <c r="B32" s="11" t="n">
        <v>2000</v>
      </c>
      <c r="C32" s="12" t="n">
        <v>2000</v>
      </c>
      <c r="D32" s="12" t="n">
        <v>2000</v>
      </c>
      <c r="E32" s="9" t="s">
        <v>43</v>
      </c>
    </row>
    <row r="33" customFormat="false" ht="15" hidden="false" customHeight="true" outlineLevel="0" collapsed="false">
      <c r="A33" s="10" t="s">
        <v>44</v>
      </c>
      <c r="B33" s="11" t="n">
        <v>500</v>
      </c>
      <c r="C33" s="12" t="n">
        <v>300</v>
      </c>
      <c r="D33" s="12" t="n">
        <v>800</v>
      </c>
      <c r="E33" s="9" t="s">
        <v>45</v>
      </c>
    </row>
    <row r="35" customFormat="false" ht="15.75" hidden="false" customHeight="true" outlineLevel="0" collapsed="false">
      <c r="A35" s="5" t="s">
        <v>46</v>
      </c>
      <c r="B35" s="5"/>
      <c r="C35" s="5"/>
      <c r="D35" s="5"/>
      <c r="E35" s="5"/>
    </row>
    <row r="36" customFormat="false" ht="15" hidden="false" customHeight="true" outlineLevel="0" collapsed="false">
      <c r="A36" s="6" t="s">
        <v>11</v>
      </c>
      <c r="B36" s="6" t="s">
        <v>4</v>
      </c>
      <c r="C36" s="6" t="s">
        <v>5</v>
      </c>
      <c r="D36" s="6" t="s">
        <v>6</v>
      </c>
      <c r="E36" s="6" t="s">
        <v>7</v>
      </c>
    </row>
    <row r="37" customFormat="false" ht="15" hidden="false" customHeight="true" outlineLevel="0" collapsed="false">
      <c r="A37" s="10" t="s">
        <v>47</v>
      </c>
      <c r="B37" s="11" t="n">
        <v>25</v>
      </c>
      <c r="C37" s="12" t="n">
        <v>30</v>
      </c>
      <c r="D37" s="12" t="n">
        <v>20</v>
      </c>
      <c r="E37" s="9" t="s">
        <v>48</v>
      </c>
    </row>
    <row r="38" customFormat="false" ht="15" hidden="false" customHeight="true" outlineLevel="0" collapsed="false">
      <c r="A38" s="10" t="s">
        <v>49</v>
      </c>
      <c r="B38" s="11" t="n">
        <v>15</v>
      </c>
      <c r="C38" s="12" t="n">
        <v>18</v>
      </c>
      <c r="D38" s="12" t="n">
        <v>12</v>
      </c>
      <c r="E38" s="9" t="s">
        <v>50</v>
      </c>
    </row>
    <row r="39" customFormat="false" ht="15" hidden="false" customHeight="true" outlineLevel="0" collapsed="false">
      <c r="A39" s="10" t="s">
        <v>51</v>
      </c>
      <c r="B39" s="13" t="n">
        <v>0.05</v>
      </c>
      <c r="C39" s="14" t="n">
        <v>0.08</v>
      </c>
      <c r="D39" s="14" t="n">
        <v>0.03</v>
      </c>
      <c r="E39" s="9" t="s">
        <v>52</v>
      </c>
    </row>
  </sheetData>
  <mergeCells count="9">
    <mergeCell ref="A1:E1"/>
    <mergeCell ref="A2:E2"/>
    <mergeCell ref="A3:E3"/>
    <mergeCell ref="A5:E5"/>
    <mergeCell ref="B7:D7"/>
    <mergeCell ref="A9:E9"/>
    <mergeCell ref="A17:E17"/>
    <mergeCell ref="A27:E27"/>
    <mergeCell ref="A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15" min="2" style="1" width="11"/>
  </cols>
  <sheetData>
    <row r="1" customFormat="false" ht="24" hidden="false" customHeight="true" outlineLevel="0" collapsed="false">
      <c r="A1" s="2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3" t="s">
        <v>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5" hidden="false" customHeight="true" outlineLevel="0" collapsed="false">
      <c r="B3" s="15" t="s">
        <v>55</v>
      </c>
      <c r="C3" s="15"/>
      <c r="D3" s="15"/>
      <c r="E3" s="16" t="s">
        <v>56</v>
      </c>
      <c r="F3" s="16"/>
      <c r="G3" s="16"/>
      <c r="H3" s="16"/>
      <c r="I3" s="16"/>
      <c r="J3" s="16"/>
      <c r="K3" s="16"/>
      <c r="L3" s="16"/>
      <c r="M3" s="16"/>
      <c r="N3" s="16"/>
    </row>
    <row r="4" customFormat="false" ht="15.75" hidden="false" customHeight="true" outlineLevel="0" collapsed="false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  <c r="F4" s="6" t="s">
        <v>62</v>
      </c>
      <c r="G4" s="6" t="s">
        <v>63</v>
      </c>
      <c r="H4" s="6" t="s">
        <v>64</v>
      </c>
      <c r="I4" s="6" t="s">
        <v>65</v>
      </c>
      <c r="J4" s="6" t="s">
        <v>66</v>
      </c>
      <c r="K4" s="6" t="s">
        <v>67</v>
      </c>
      <c r="L4" s="6" t="s">
        <v>68</v>
      </c>
      <c r="M4" s="6" t="s">
        <v>69</v>
      </c>
      <c r="N4" s="6" t="s">
        <v>70</v>
      </c>
    </row>
    <row r="5" customFormat="false" ht="15" hidden="false" customHeight="true" outlineLevel="0" collapsed="false">
      <c r="A5" s="5" t="s">
        <v>71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15" hidden="false" customHeight="true" outlineLevel="0" collapsed="false">
      <c r="A6" s="10" t="s">
        <v>72</v>
      </c>
      <c r="B6" s="17" t="n">
        <v>4800</v>
      </c>
      <c r="C6" s="17" t="n">
        <v>5100</v>
      </c>
      <c r="D6" s="17" t="n">
        <v>5200</v>
      </c>
      <c r="E6" s="18" t="n">
        <v>5000</v>
      </c>
      <c r="F6" s="18" t="n">
        <v>5100</v>
      </c>
      <c r="G6" s="18" t="n">
        <v>5300</v>
      </c>
      <c r="H6" s="18" t="n">
        <v>5500</v>
      </c>
      <c r="I6" s="18" t="n">
        <v>5200</v>
      </c>
      <c r="J6" s="18" t="n">
        <v>5000</v>
      </c>
      <c r="K6" s="18" t="n">
        <v>4900</v>
      </c>
      <c r="L6" s="18" t="n">
        <v>5100</v>
      </c>
      <c r="M6" s="18" t="n">
        <v>5300</v>
      </c>
      <c r="N6" s="19" t="n">
        <f aca="false">SUM(B6:M6)</f>
        <v>61500</v>
      </c>
    </row>
    <row r="7" customFormat="false" ht="15" hidden="false" customHeight="true" outlineLevel="0" collapsed="false">
      <c r="A7" s="10" t="s">
        <v>73</v>
      </c>
      <c r="B7" s="18" t="n">
        <f aca="false">-B6*0.02</f>
        <v>-96</v>
      </c>
      <c r="C7" s="18" t="n">
        <f aca="false">-C6*0.02</f>
        <v>-102</v>
      </c>
      <c r="D7" s="18" t="n">
        <f aca="false">-D6*0.02</f>
        <v>-104</v>
      </c>
      <c r="E7" s="18" t="n">
        <f aca="false">-E6*0.02</f>
        <v>-100</v>
      </c>
      <c r="F7" s="18" t="n">
        <f aca="false">-F6*0.02</f>
        <v>-102</v>
      </c>
      <c r="G7" s="18" t="n">
        <f aca="false">-G6*0.02</f>
        <v>-106</v>
      </c>
      <c r="H7" s="18" t="n">
        <f aca="false">-H6*0.02</f>
        <v>-110</v>
      </c>
      <c r="I7" s="18" t="n">
        <f aca="false">-I6*0.02</f>
        <v>-104</v>
      </c>
      <c r="J7" s="18" t="n">
        <f aca="false">-J6*0.02</f>
        <v>-100</v>
      </c>
      <c r="K7" s="18" t="n">
        <f aca="false">-K6*0.02</f>
        <v>-98</v>
      </c>
      <c r="L7" s="18" t="n">
        <f aca="false">-L6*0.02</f>
        <v>-102</v>
      </c>
      <c r="M7" s="18" t="n">
        <f aca="false">-M6*0.02</f>
        <v>-106</v>
      </c>
      <c r="N7" s="19" t="n">
        <f aca="false">SUM(B7:M7)</f>
        <v>-1230</v>
      </c>
    </row>
    <row r="8" customFormat="false" ht="15" hidden="false" customHeight="true" outlineLevel="0" collapsed="false">
      <c r="A8" s="20" t="s">
        <v>74</v>
      </c>
      <c r="B8" s="19" t="n">
        <f aca="false">B6+B7</f>
        <v>4704</v>
      </c>
      <c r="C8" s="19" t="n">
        <f aca="false">C6+C7</f>
        <v>4998</v>
      </c>
      <c r="D8" s="19" t="n">
        <f aca="false">D6+D7</f>
        <v>5096</v>
      </c>
      <c r="E8" s="19" t="n">
        <f aca="false">E6+E7</f>
        <v>4900</v>
      </c>
      <c r="F8" s="19" t="n">
        <f aca="false">F6+F7</f>
        <v>4998</v>
      </c>
      <c r="G8" s="19" t="n">
        <f aca="false">G6+G7</f>
        <v>5194</v>
      </c>
      <c r="H8" s="19" t="n">
        <f aca="false">H6+H7</f>
        <v>5390</v>
      </c>
      <c r="I8" s="19" t="n">
        <f aca="false">I6+I7</f>
        <v>5096</v>
      </c>
      <c r="J8" s="19" t="n">
        <f aca="false">J6+J7</f>
        <v>4900</v>
      </c>
      <c r="K8" s="19" t="n">
        <f aca="false">K6+K7</f>
        <v>4802</v>
      </c>
      <c r="L8" s="19" t="n">
        <f aca="false">L6+L7</f>
        <v>4998</v>
      </c>
      <c r="M8" s="19" t="n">
        <f aca="false">M6+M7</f>
        <v>5194</v>
      </c>
      <c r="N8" s="19" t="n">
        <f aca="false">SUM(B8:M8)</f>
        <v>60270</v>
      </c>
    </row>
    <row r="10" customFormat="false" ht="15" hidden="false" customHeight="true" outlineLevel="0" collapsed="false">
      <c r="A10" s="5" t="s">
        <v>75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customFormat="false" ht="15" hidden="false" customHeight="true" outlineLevel="0" collapsed="false">
      <c r="A11" s="10" t="s">
        <v>76</v>
      </c>
      <c r="B11" s="21" t="n">
        <f aca="false">-B8*1_Assumptions!B19</f>
        <v>-3057.6</v>
      </c>
      <c r="C11" s="21" t="n">
        <f aca="false">-C8*1_Assumptions!B19</f>
        <v>-3248.7</v>
      </c>
      <c r="D11" s="21" t="n">
        <f aca="false">-D8*1_Assumptions!B19</f>
        <v>-3312.4</v>
      </c>
      <c r="E11" s="21" t="n">
        <f aca="false">-E8*1_Assumptions!B19</f>
        <v>-3185</v>
      </c>
      <c r="F11" s="21" t="n">
        <f aca="false">-F8*1_Assumptions!B19</f>
        <v>-3248.7</v>
      </c>
      <c r="G11" s="21" t="n">
        <f aca="false">-G8*1_Assumptions!B19</f>
        <v>-3376.1</v>
      </c>
      <c r="H11" s="21" t="n">
        <f aca="false">-H8*1_Assumptions!B19</f>
        <v>-3503.5</v>
      </c>
      <c r="I11" s="21" t="n">
        <f aca="false">-I8*1_Assumptions!B19</f>
        <v>-3312.4</v>
      </c>
      <c r="J11" s="21" t="n">
        <f aca="false">-J8*1_Assumptions!B19</f>
        <v>-3185</v>
      </c>
      <c r="K11" s="21" t="n">
        <f aca="false">-K8*1_Assumptions!B19</f>
        <v>-3121.3</v>
      </c>
      <c r="L11" s="21" t="n">
        <f aca="false">-L8*1_Assumptions!B19</f>
        <v>-3248.7</v>
      </c>
      <c r="M11" s="21" t="n">
        <f aca="false">-M8*1_Assumptions!B19</f>
        <v>-3376.1</v>
      </c>
      <c r="N11" s="19" t="n">
        <f aca="false">SUM(B11:M11)</f>
        <v>-39175.5</v>
      </c>
    </row>
    <row r="12" customFormat="false" ht="15" hidden="false" customHeight="true" outlineLevel="0" collapsed="false">
      <c r="A12" s="20" t="s">
        <v>77</v>
      </c>
      <c r="B12" s="19" t="n">
        <f aca="false">B8+B11</f>
        <v>1646.4</v>
      </c>
      <c r="C12" s="19" t="n">
        <f aca="false">C8+C11</f>
        <v>1749.3</v>
      </c>
      <c r="D12" s="19" t="n">
        <f aca="false">D8+D11</f>
        <v>1783.6</v>
      </c>
      <c r="E12" s="19" t="n">
        <f aca="false">E8+E11</f>
        <v>1715</v>
      </c>
      <c r="F12" s="19" t="n">
        <f aca="false">F8+F11</f>
        <v>1749.3</v>
      </c>
      <c r="G12" s="19" t="n">
        <f aca="false">G8+G11</f>
        <v>1817.9</v>
      </c>
      <c r="H12" s="19" t="n">
        <f aca="false">H8+H11</f>
        <v>1886.5</v>
      </c>
      <c r="I12" s="19" t="n">
        <f aca="false">I8+I11</f>
        <v>1783.6</v>
      </c>
      <c r="J12" s="19" t="n">
        <f aca="false">J8+J11</f>
        <v>1715</v>
      </c>
      <c r="K12" s="19" t="n">
        <f aca="false">K8+K11</f>
        <v>1680.7</v>
      </c>
      <c r="L12" s="19" t="n">
        <f aca="false">L8+L11</f>
        <v>1749.3</v>
      </c>
      <c r="M12" s="19" t="n">
        <f aca="false">M8+M11</f>
        <v>1817.9</v>
      </c>
      <c r="N12" s="19" t="n">
        <f aca="false">SUM(B12:M12)</f>
        <v>21094.5</v>
      </c>
    </row>
    <row r="13" customFormat="false" ht="15" hidden="false" customHeight="true" outlineLevel="0" collapsed="false">
      <c r="A13" s="10" t="s">
        <v>78</v>
      </c>
      <c r="B13" s="22" t="n">
        <f aca="false">IF(B8=0,0,B12/B8)</f>
        <v>0.35</v>
      </c>
      <c r="C13" s="22" t="n">
        <f aca="false">IF(C8=0,0,C12/C8)</f>
        <v>0.35</v>
      </c>
      <c r="D13" s="22" t="n">
        <f aca="false">IF(D8=0,0,D12/D8)</f>
        <v>0.35</v>
      </c>
      <c r="E13" s="22" t="n">
        <f aca="false">IF(E8=0,0,E12/E8)</f>
        <v>0.35</v>
      </c>
      <c r="F13" s="22" t="n">
        <f aca="false">IF(F8=0,0,F12/F8)</f>
        <v>0.35</v>
      </c>
      <c r="G13" s="22" t="n">
        <f aca="false">IF(G8=0,0,G12/G8)</f>
        <v>0.35</v>
      </c>
      <c r="H13" s="22" t="n">
        <f aca="false">IF(H8=0,0,H12/H8)</f>
        <v>0.35</v>
      </c>
      <c r="I13" s="22" t="n">
        <f aca="false">IF(I8=0,0,I12/I8)</f>
        <v>0.35</v>
      </c>
      <c r="J13" s="22" t="n">
        <f aca="false">IF(J8=0,0,J12/J8)</f>
        <v>0.35</v>
      </c>
      <c r="K13" s="22" t="n">
        <f aca="false">IF(K8=0,0,K12/K8)</f>
        <v>0.35</v>
      </c>
      <c r="L13" s="22" t="n">
        <f aca="false">IF(L8=0,0,L12/L8)</f>
        <v>0.35</v>
      </c>
      <c r="M13" s="22" t="n">
        <f aca="false">IF(M8=0,0,M12/M8)</f>
        <v>0.35</v>
      </c>
      <c r="N13" s="23" t="n">
        <f aca="false">N12/N8</f>
        <v>0.35</v>
      </c>
    </row>
    <row r="15" customFormat="false" ht="15" hidden="false" customHeight="true" outlineLevel="0" collapsed="false">
      <c r="A15" s="5" t="s">
        <v>79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customFormat="false" ht="15" hidden="false" customHeight="true" outlineLevel="0" collapsed="false">
      <c r="A16" s="10" t="s">
        <v>80</v>
      </c>
      <c r="B16" s="21" t="n">
        <f aca="false">-B8*1_Assumptions!B21</f>
        <v>-376.32</v>
      </c>
      <c r="C16" s="21" t="n">
        <f aca="false">-C8*1_Assumptions!B21</f>
        <v>-399.84</v>
      </c>
      <c r="D16" s="21" t="n">
        <f aca="false">-D8*1_Assumptions!B21</f>
        <v>-407.68</v>
      </c>
      <c r="E16" s="21" t="n">
        <f aca="false">-E8*1_Assumptions!B21</f>
        <v>-392</v>
      </c>
      <c r="F16" s="21" t="n">
        <f aca="false">-F8*1_Assumptions!B21</f>
        <v>-399.84</v>
      </c>
      <c r="G16" s="21" t="n">
        <f aca="false">-G8*1_Assumptions!B21</f>
        <v>-415.52</v>
      </c>
      <c r="H16" s="21" t="n">
        <f aca="false">-H8*1_Assumptions!B21</f>
        <v>-431.2</v>
      </c>
      <c r="I16" s="21" t="n">
        <f aca="false">-I8*1_Assumptions!B21</f>
        <v>-407.68</v>
      </c>
      <c r="J16" s="21" t="n">
        <f aca="false">-J8*1_Assumptions!B21</f>
        <v>-392</v>
      </c>
      <c r="K16" s="21" t="n">
        <f aca="false">-K8*1_Assumptions!B21</f>
        <v>-384.16</v>
      </c>
      <c r="L16" s="21" t="n">
        <f aca="false">-L8*1_Assumptions!B21</f>
        <v>-399.84</v>
      </c>
      <c r="M16" s="21" t="n">
        <f aca="false">-M8*1_Assumptions!B21</f>
        <v>-415.52</v>
      </c>
      <c r="N16" s="19" t="n">
        <f aca="false">SUM(B16:M16)</f>
        <v>-4821.6</v>
      </c>
    </row>
    <row r="17" customFormat="false" ht="15" hidden="false" customHeight="true" outlineLevel="0" collapsed="false">
      <c r="A17" s="10" t="s">
        <v>81</v>
      </c>
      <c r="B17" s="21" t="n">
        <f aca="false">-B8*1_Assumptions!B22</f>
        <v>-282.24</v>
      </c>
      <c r="C17" s="21" t="n">
        <f aca="false">-C8*1_Assumptions!B22</f>
        <v>-299.88</v>
      </c>
      <c r="D17" s="21" t="n">
        <f aca="false">-D8*1_Assumptions!B22</f>
        <v>-305.76</v>
      </c>
      <c r="E17" s="21" t="n">
        <f aca="false">-E8*1_Assumptions!B22</f>
        <v>-294</v>
      </c>
      <c r="F17" s="21" t="n">
        <f aca="false">-F8*1_Assumptions!B22</f>
        <v>-299.88</v>
      </c>
      <c r="G17" s="21" t="n">
        <f aca="false">-G8*1_Assumptions!B22</f>
        <v>-311.64</v>
      </c>
      <c r="H17" s="21" t="n">
        <f aca="false">-H8*1_Assumptions!B22</f>
        <v>-323.4</v>
      </c>
      <c r="I17" s="21" t="n">
        <f aca="false">-I8*1_Assumptions!B22</f>
        <v>-305.76</v>
      </c>
      <c r="J17" s="21" t="n">
        <f aca="false">-J8*1_Assumptions!B22</f>
        <v>-294</v>
      </c>
      <c r="K17" s="21" t="n">
        <f aca="false">-K8*1_Assumptions!B22</f>
        <v>-288.12</v>
      </c>
      <c r="L17" s="21" t="n">
        <f aca="false">-L8*1_Assumptions!B22</f>
        <v>-299.88</v>
      </c>
      <c r="M17" s="21" t="n">
        <f aca="false">-M8*1_Assumptions!B22</f>
        <v>-311.64</v>
      </c>
      <c r="N17" s="19" t="n">
        <f aca="false">SUM(B17:M17)</f>
        <v>-3616.2</v>
      </c>
    </row>
    <row r="18" customFormat="false" ht="15" hidden="false" customHeight="true" outlineLevel="0" collapsed="false">
      <c r="A18" s="10" t="s">
        <v>82</v>
      </c>
      <c r="B18" s="21" t="n">
        <f aca="false">-1_Assumptions!B23/12</f>
        <v>-50</v>
      </c>
      <c r="C18" s="21" t="n">
        <f aca="false">-1_Assumptions!B23/12</f>
        <v>-50</v>
      </c>
      <c r="D18" s="21" t="n">
        <f aca="false">-1_Assumptions!B23/12</f>
        <v>-50</v>
      </c>
      <c r="E18" s="21" t="n">
        <f aca="false">-1_Assumptions!B23/12</f>
        <v>-50</v>
      </c>
      <c r="F18" s="21" t="n">
        <f aca="false">-1_Assumptions!B23/12</f>
        <v>-50</v>
      </c>
      <c r="G18" s="21" t="n">
        <f aca="false">-1_Assumptions!B23/12</f>
        <v>-50</v>
      </c>
      <c r="H18" s="21" t="n">
        <f aca="false">-1_Assumptions!B23/12</f>
        <v>-50</v>
      </c>
      <c r="I18" s="21" t="n">
        <f aca="false">-1_Assumptions!B23/12</f>
        <v>-50</v>
      </c>
      <c r="J18" s="21" t="n">
        <f aca="false">-1_Assumptions!B23/12</f>
        <v>-50</v>
      </c>
      <c r="K18" s="21" t="n">
        <f aca="false">-1_Assumptions!B23/12</f>
        <v>-50</v>
      </c>
      <c r="L18" s="21" t="n">
        <f aca="false">-1_Assumptions!B23/12</f>
        <v>-50</v>
      </c>
      <c r="M18" s="21" t="n">
        <f aca="false">-1_Assumptions!B23/12</f>
        <v>-50</v>
      </c>
      <c r="N18" s="19" t="n">
        <f aca="false">SUM(B18:M18)</f>
        <v>-600</v>
      </c>
    </row>
    <row r="19" customFormat="false" ht="15" hidden="false" customHeight="true" outlineLevel="0" collapsed="false">
      <c r="A19" s="20" t="s">
        <v>83</v>
      </c>
      <c r="B19" s="19" t="n">
        <f aca="false">B16+B17+B18</f>
        <v>-708.56</v>
      </c>
      <c r="C19" s="19" t="n">
        <f aca="false">C16+C17+C18</f>
        <v>-749.72</v>
      </c>
      <c r="D19" s="19" t="n">
        <f aca="false">D16+D17+D18</f>
        <v>-763.44</v>
      </c>
      <c r="E19" s="19" t="n">
        <f aca="false">E16+E17+E18</f>
        <v>-736</v>
      </c>
      <c r="F19" s="19" t="n">
        <f aca="false">F16+F17+F18</f>
        <v>-749.72</v>
      </c>
      <c r="G19" s="19" t="n">
        <f aca="false">G16+G17+G18</f>
        <v>-777.16</v>
      </c>
      <c r="H19" s="19" t="n">
        <f aca="false">H16+H17+H18</f>
        <v>-804.6</v>
      </c>
      <c r="I19" s="19" t="n">
        <f aca="false">I16+I17+I18</f>
        <v>-763.44</v>
      </c>
      <c r="J19" s="19" t="n">
        <f aca="false">J16+J17+J18</f>
        <v>-736</v>
      </c>
      <c r="K19" s="19" t="n">
        <f aca="false">K16+K17+K18</f>
        <v>-722.28</v>
      </c>
      <c r="L19" s="19" t="n">
        <f aca="false">L16+L17+L18</f>
        <v>-749.72</v>
      </c>
      <c r="M19" s="19" t="n">
        <f aca="false">M16+M17+M18</f>
        <v>-777.16</v>
      </c>
      <c r="N19" s="19" t="n">
        <f aca="false">SUM(B19:M19)</f>
        <v>-9037.8</v>
      </c>
    </row>
    <row r="21" customFormat="false" ht="15" hidden="false" customHeight="true" outlineLevel="0" collapsed="false">
      <c r="A21" s="5" t="s">
        <v>84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customFormat="false" ht="15" hidden="false" customHeight="true" outlineLevel="0" collapsed="false">
      <c r="A22" s="20" t="s">
        <v>85</v>
      </c>
      <c r="B22" s="19" t="n">
        <f aca="false">B12+B19</f>
        <v>937.84</v>
      </c>
      <c r="C22" s="19" t="n">
        <f aca="false">C12+C19</f>
        <v>999.58</v>
      </c>
      <c r="D22" s="19" t="n">
        <f aca="false">D12+D19</f>
        <v>1020.16</v>
      </c>
      <c r="E22" s="19" t="n">
        <f aca="false">E12+E19</f>
        <v>979</v>
      </c>
      <c r="F22" s="19" t="n">
        <f aca="false">F12+F19</f>
        <v>999.58</v>
      </c>
      <c r="G22" s="19" t="n">
        <f aca="false">G12+G19</f>
        <v>1040.74</v>
      </c>
      <c r="H22" s="19" t="n">
        <f aca="false">H12+H19</f>
        <v>1081.9</v>
      </c>
      <c r="I22" s="19" t="n">
        <f aca="false">I12+I19</f>
        <v>1020.16</v>
      </c>
      <c r="J22" s="19" t="n">
        <f aca="false">J12+J19</f>
        <v>979</v>
      </c>
      <c r="K22" s="19" t="n">
        <f aca="false">K12+K19</f>
        <v>958.42</v>
      </c>
      <c r="L22" s="19" t="n">
        <f aca="false">L12+L19</f>
        <v>999.58</v>
      </c>
      <c r="M22" s="19" t="n">
        <f aca="false">M12+M19</f>
        <v>1040.74</v>
      </c>
      <c r="N22" s="19" t="n">
        <f aca="false">SUM(B22:M22)</f>
        <v>12056.7</v>
      </c>
    </row>
    <row r="23" customFormat="false" ht="15" hidden="false" customHeight="true" outlineLevel="0" collapsed="false">
      <c r="A23" s="10" t="s">
        <v>86</v>
      </c>
      <c r="B23" s="22" t="n">
        <f aca="false">IF(B8=0,0,B22/B8)</f>
        <v>0.19937074829932</v>
      </c>
      <c r="C23" s="22" t="n">
        <f aca="false">IF(C8=0,0,C22/C8)</f>
        <v>0.19999599839936</v>
      </c>
      <c r="D23" s="22" t="n">
        <f aca="false">IF(D8=0,0,D22/D8)</f>
        <v>0.200188383045526</v>
      </c>
      <c r="E23" s="22" t="n">
        <f aca="false">IF(E8=0,0,E22/E8)</f>
        <v>0.199795918367347</v>
      </c>
      <c r="F23" s="22" t="n">
        <f aca="false">IF(F8=0,0,F22/F8)</f>
        <v>0.19999599839936</v>
      </c>
      <c r="G23" s="22" t="n">
        <f aca="false">IF(G8=0,0,G22/G8)</f>
        <v>0.200373507893724</v>
      </c>
      <c r="H23" s="22" t="n">
        <f aca="false">IF(H8=0,0,H22/H8)</f>
        <v>0.200723562152134</v>
      </c>
      <c r="I23" s="22" t="n">
        <f aca="false">IF(I8=0,0,I22/I8)</f>
        <v>0.200188383045526</v>
      </c>
      <c r="J23" s="22" t="n">
        <f aca="false">IF(J8=0,0,J22/J8)</f>
        <v>0.199795918367347</v>
      </c>
      <c r="K23" s="22" t="n">
        <f aca="false">IF(K8=0,0,K22/K8)</f>
        <v>0.199587671803415</v>
      </c>
      <c r="L23" s="22" t="n">
        <f aca="false">IF(L8=0,0,L22/L8)</f>
        <v>0.19999599839936</v>
      </c>
      <c r="M23" s="22" t="n">
        <f aca="false">IF(M8=0,0,M22/M8)</f>
        <v>0.200373507893724</v>
      </c>
      <c r="N23" s="23" t="n">
        <f aca="false">N22/N8</f>
        <v>0.200044798407168</v>
      </c>
    </row>
    <row r="24" customFormat="false" ht="15" hidden="false" customHeight="true" outlineLevel="0" collapsed="false">
      <c r="A24" s="10" t="s">
        <v>87</v>
      </c>
      <c r="B24" s="21" t="n">
        <f aca="false">-1_Assumptions!B24/12</f>
        <v>-33.3333333333333</v>
      </c>
      <c r="C24" s="21" t="n">
        <f aca="false">-1_Assumptions!B24/12</f>
        <v>-33.3333333333333</v>
      </c>
      <c r="D24" s="21" t="n">
        <f aca="false">-1_Assumptions!B24/12</f>
        <v>-33.3333333333333</v>
      </c>
      <c r="E24" s="21" t="n">
        <f aca="false">-1_Assumptions!B24/12</f>
        <v>-33.3333333333333</v>
      </c>
      <c r="F24" s="21" t="n">
        <f aca="false">-1_Assumptions!B24/12</f>
        <v>-33.3333333333333</v>
      </c>
      <c r="G24" s="21" t="n">
        <f aca="false">-1_Assumptions!B24/12</f>
        <v>-33.3333333333333</v>
      </c>
      <c r="H24" s="21" t="n">
        <f aca="false">-1_Assumptions!B24/12</f>
        <v>-33.3333333333333</v>
      </c>
      <c r="I24" s="21" t="n">
        <f aca="false">-1_Assumptions!B24/12</f>
        <v>-33.3333333333333</v>
      </c>
      <c r="J24" s="21" t="n">
        <f aca="false">-1_Assumptions!B24/12</f>
        <v>-33.3333333333333</v>
      </c>
      <c r="K24" s="21" t="n">
        <f aca="false">-1_Assumptions!B24/12</f>
        <v>-33.3333333333333</v>
      </c>
      <c r="L24" s="21" t="n">
        <f aca="false">-1_Assumptions!B24/12</f>
        <v>-33.3333333333333</v>
      </c>
      <c r="M24" s="21" t="n">
        <f aca="false">-1_Assumptions!B24/12</f>
        <v>-33.3333333333333</v>
      </c>
      <c r="N24" s="19" t="n">
        <f aca="false">SUM(B24:M24)</f>
        <v>-400</v>
      </c>
    </row>
    <row r="25" customFormat="false" ht="15" hidden="false" customHeight="true" outlineLevel="0" collapsed="false">
      <c r="A25" s="20" t="s">
        <v>88</v>
      </c>
      <c r="B25" s="19" t="n">
        <f aca="false">B22+B24</f>
        <v>904.506666666667</v>
      </c>
      <c r="C25" s="19" t="n">
        <f aca="false">C22+C24</f>
        <v>966.246666666666</v>
      </c>
      <c r="D25" s="19" t="n">
        <f aca="false">D22+D24</f>
        <v>986.826666666667</v>
      </c>
      <c r="E25" s="19" t="n">
        <f aca="false">E22+E24</f>
        <v>945.666666666667</v>
      </c>
      <c r="F25" s="19" t="n">
        <f aca="false">F22+F24</f>
        <v>966.246666666666</v>
      </c>
      <c r="G25" s="19" t="n">
        <f aca="false">G22+G24</f>
        <v>1007.40666666667</v>
      </c>
      <c r="H25" s="19" t="n">
        <f aca="false">H22+H24</f>
        <v>1048.56666666667</v>
      </c>
      <c r="I25" s="19" t="n">
        <f aca="false">I22+I24</f>
        <v>986.826666666667</v>
      </c>
      <c r="J25" s="19" t="n">
        <f aca="false">J22+J24</f>
        <v>945.666666666667</v>
      </c>
      <c r="K25" s="19" t="n">
        <f aca="false">K22+K24</f>
        <v>925.086666666667</v>
      </c>
      <c r="L25" s="19" t="n">
        <f aca="false">L22+L24</f>
        <v>966.246666666666</v>
      </c>
      <c r="M25" s="19" t="n">
        <f aca="false">M22+M24</f>
        <v>1007.40666666667</v>
      </c>
      <c r="N25" s="19" t="n">
        <f aca="false">SUM(B25:M25)</f>
        <v>11656.7</v>
      </c>
    </row>
    <row r="26" customFormat="false" ht="15" hidden="false" customHeight="true" outlineLevel="0" collapsed="false">
      <c r="A26" s="10" t="s">
        <v>89</v>
      </c>
      <c r="B26" s="21" t="n">
        <f aca="false">IF(B25&gt;0,-B25*1_Assumptions!B25,0)</f>
        <v>-180.901333333333</v>
      </c>
      <c r="C26" s="21" t="n">
        <f aca="false">IF(C25&gt;0,-C25*1_Assumptions!B25,0)</f>
        <v>-193.249333333333</v>
      </c>
      <c r="D26" s="21" t="n">
        <f aca="false">IF(D25&gt;0,-D25*1_Assumptions!B25,0)</f>
        <v>-197.365333333333</v>
      </c>
      <c r="E26" s="21" t="n">
        <f aca="false">IF(E25&gt;0,-E25*1_Assumptions!B25,0)</f>
        <v>-189.133333333333</v>
      </c>
      <c r="F26" s="21" t="n">
        <f aca="false">IF(F25&gt;0,-F25*1_Assumptions!B25,0)</f>
        <v>-193.249333333333</v>
      </c>
      <c r="G26" s="21" t="n">
        <f aca="false">IF(G25&gt;0,-G25*1_Assumptions!B25,0)</f>
        <v>-201.481333333333</v>
      </c>
      <c r="H26" s="21" t="n">
        <f aca="false">IF(H25&gt;0,-H25*1_Assumptions!B25,0)</f>
        <v>-209.713333333333</v>
      </c>
      <c r="I26" s="21" t="n">
        <f aca="false">IF(I25&gt;0,-I25*1_Assumptions!B25,0)</f>
        <v>-197.365333333333</v>
      </c>
      <c r="J26" s="21" t="n">
        <f aca="false">IF(J25&gt;0,-J25*1_Assumptions!B25,0)</f>
        <v>-189.133333333333</v>
      </c>
      <c r="K26" s="21" t="n">
        <f aca="false">IF(K25&gt;0,-K25*1_Assumptions!B25,0)</f>
        <v>-185.017333333333</v>
      </c>
      <c r="L26" s="21" t="n">
        <f aca="false">IF(L25&gt;0,-L25*1_Assumptions!B25,0)</f>
        <v>-193.249333333333</v>
      </c>
      <c r="M26" s="21" t="n">
        <f aca="false">IF(M25&gt;0,-M25*1_Assumptions!B25,0)</f>
        <v>-201.481333333333</v>
      </c>
      <c r="N26" s="19" t="n">
        <f aca="false">SUM(B26:M26)</f>
        <v>-2331.34</v>
      </c>
    </row>
    <row r="27" customFormat="false" ht="15" hidden="false" customHeight="true" outlineLevel="0" collapsed="false">
      <c r="A27" s="20" t="s">
        <v>90</v>
      </c>
      <c r="B27" s="19" t="n">
        <f aca="false">B25+B26</f>
        <v>723.605333333333</v>
      </c>
      <c r="C27" s="19" t="n">
        <f aca="false">C25+C26</f>
        <v>772.997333333333</v>
      </c>
      <c r="D27" s="19" t="n">
        <f aca="false">D25+D26</f>
        <v>789.461333333333</v>
      </c>
      <c r="E27" s="19" t="n">
        <f aca="false">E25+E26</f>
        <v>756.533333333333</v>
      </c>
      <c r="F27" s="19" t="n">
        <f aca="false">F25+F26</f>
        <v>772.997333333333</v>
      </c>
      <c r="G27" s="19" t="n">
        <f aca="false">G25+G26</f>
        <v>805.925333333334</v>
      </c>
      <c r="H27" s="19" t="n">
        <f aca="false">H25+H26</f>
        <v>838.853333333334</v>
      </c>
      <c r="I27" s="19" t="n">
        <f aca="false">I25+I26</f>
        <v>789.461333333333</v>
      </c>
      <c r="J27" s="19" t="n">
        <f aca="false">J25+J26</f>
        <v>756.533333333333</v>
      </c>
      <c r="K27" s="19" t="n">
        <f aca="false">K25+K26</f>
        <v>740.069333333333</v>
      </c>
      <c r="L27" s="19" t="n">
        <f aca="false">L25+L26</f>
        <v>772.997333333333</v>
      </c>
      <c r="M27" s="19" t="n">
        <f aca="false">M25+M26</f>
        <v>805.925333333334</v>
      </c>
      <c r="N27" s="19" t="n">
        <f aca="false">SUM(B27:M27)</f>
        <v>9325.36</v>
      </c>
    </row>
    <row r="28" customFormat="false" ht="15" hidden="false" customHeight="true" outlineLevel="0" collapsed="false">
      <c r="A28" s="10" t="s">
        <v>91</v>
      </c>
      <c r="B28" s="22" t="n">
        <f aca="false">IF(B8=0,0,B27/B8)</f>
        <v>0.153827664399093</v>
      </c>
      <c r="C28" s="22" t="n">
        <f aca="false">IF(C8=0,0,C27/C8)</f>
        <v>0.154661331199146</v>
      </c>
      <c r="D28" s="22" t="n">
        <f aca="false">IF(D8=0,0,D27/D8)</f>
        <v>0.154917844060701</v>
      </c>
      <c r="E28" s="22" t="n">
        <f aca="false">IF(E8=0,0,E27/E8)</f>
        <v>0.154394557823129</v>
      </c>
      <c r="F28" s="22" t="n">
        <f aca="false">IF(F8=0,0,F27/F8)</f>
        <v>0.154661331199146</v>
      </c>
      <c r="G28" s="22" t="n">
        <f aca="false">IF(G8=0,0,G27/G8)</f>
        <v>0.155164677191631</v>
      </c>
      <c r="H28" s="22" t="n">
        <f aca="false">IF(H8=0,0,H27/H8)</f>
        <v>0.155631416202845</v>
      </c>
      <c r="I28" s="22" t="n">
        <f aca="false">IF(I8=0,0,I27/I8)</f>
        <v>0.154917844060701</v>
      </c>
      <c r="J28" s="22" t="n">
        <f aca="false">IF(J8=0,0,J27/J8)</f>
        <v>0.154394557823129</v>
      </c>
      <c r="K28" s="22" t="n">
        <f aca="false">IF(K8=0,0,K27/K8)</f>
        <v>0.154116895737887</v>
      </c>
      <c r="L28" s="22" t="n">
        <f aca="false">IF(L8=0,0,L27/L8)</f>
        <v>0.154661331199146</v>
      </c>
      <c r="M28" s="22" t="n">
        <f aca="false">IF(M8=0,0,M27/M8)</f>
        <v>0.155164677191631</v>
      </c>
      <c r="N28" s="23" t="n">
        <f aca="false">N27/N8</f>
        <v>0.154726397876224</v>
      </c>
    </row>
  </sheetData>
  <mergeCells count="8">
    <mergeCell ref="A1:N1"/>
    <mergeCell ref="A2:N2"/>
    <mergeCell ref="B3:D3"/>
    <mergeCell ref="E3:N3"/>
    <mergeCell ref="A5:N5"/>
    <mergeCell ref="A10:N10"/>
    <mergeCell ref="A15:N15"/>
    <mergeCell ref="A21:N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M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12"/>
    <col collapsed="false" customWidth="true" hidden="false" outlineLevel="0" max="6" min="6" style="1" width="40"/>
    <col collapsed="false" customWidth="true" hidden="false" outlineLevel="0" max="14" min="7" style="1" width="12"/>
  </cols>
  <sheetData>
    <row r="1" customFormat="false" ht="24" hidden="false" customHeight="true" outlineLevel="0" collapsed="false">
      <c r="A1" s="2" t="s">
        <v>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true" outlineLevel="0" collapsed="false">
      <c r="A2" s="3" t="s">
        <v>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5" hidden="false" customHeight="true" outlineLevel="0" collapsed="false">
      <c r="A3" s="4" t="s">
        <v>94</v>
      </c>
      <c r="B3" s="4"/>
      <c r="C3" s="4"/>
      <c r="D3" s="4"/>
      <c r="E3" s="4"/>
      <c r="F3" s="4"/>
    </row>
    <row r="4" customFormat="false" ht="15" hidden="false" customHeight="true" outlineLevel="0" collapsed="false">
      <c r="A4" s="24" t="s">
        <v>57</v>
      </c>
      <c r="B4" s="24" t="s">
        <v>95</v>
      </c>
      <c r="C4" s="24" t="s">
        <v>96</v>
      </c>
      <c r="D4" s="24" t="s">
        <v>97</v>
      </c>
      <c r="E4" s="24" t="s">
        <v>98</v>
      </c>
      <c r="F4" s="24" t="s">
        <v>99</v>
      </c>
    </row>
    <row r="6" customFormat="false" ht="15" hidden="false" customHeight="true" outlineLevel="0" collapsed="false">
      <c r="A6" s="10" t="s">
        <v>74</v>
      </c>
      <c r="B6" s="21" t="n">
        <f aca="false">SUM(2_PL_Forecast!B8:D8)</f>
        <v>14798</v>
      </c>
      <c r="C6" s="11" t="n">
        <v>58500</v>
      </c>
      <c r="D6" s="18" t="n">
        <f aca="false">C6-B6</f>
        <v>43702</v>
      </c>
      <c r="E6" s="25" t="n">
        <f aca="false">IF(B6=0,0,D6/ABS(B6))</f>
        <v>2.95323692390864</v>
      </c>
      <c r="F6" s="26"/>
    </row>
    <row r="7" customFormat="false" ht="15" hidden="false" customHeight="true" outlineLevel="0" collapsed="false">
      <c r="A7" s="10" t="s">
        <v>76</v>
      </c>
      <c r="B7" s="21" t="n">
        <f aca="false">SUM(2_PL_Forecast!B11:D11)</f>
        <v>-9618.7</v>
      </c>
      <c r="C7" s="11" t="n">
        <v>-39000</v>
      </c>
      <c r="D7" s="18" t="n">
        <f aca="false">C7-B7</f>
        <v>-29381.3</v>
      </c>
      <c r="E7" s="25" t="n">
        <f aca="false">IF(B7=0,0,D7/ABS(B7))</f>
        <v>-3.05460197323963</v>
      </c>
      <c r="F7" s="26"/>
    </row>
    <row r="8" customFormat="false" ht="15" hidden="false" customHeight="true" outlineLevel="0" collapsed="false">
      <c r="A8" s="20" t="s">
        <v>77</v>
      </c>
      <c r="B8" s="27" t="n">
        <f aca="false">SUM(2_PL_Forecast!B12:D12)</f>
        <v>5179.3</v>
      </c>
      <c r="C8" s="11" t="n">
        <v>19500</v>
      </c>
      <c r="D8" s="19" t="n">
        <f aca="false">C8-B8</f>
        <v>14320.7</v>
      </c>
      <c r="E8" s="28" t="n">
        <f aca="false">IF(B8=0,0,D8/ABS(B8))</f>
        <v>2.76498754657965</v>
      </c>
      <c r="F8" s="26"/>
    </row>
    <row r="9" customFormat="false" ht="15" hidden="false" customHeight="true" outlineLevel="0" collapsed="false">
      <c r="A9" s="10" t="s">
        <v>24</v>
      </c>
      <c r="B9" s="25" t="n">
        <f aca="false">IF(B7=0,0,C7/B7)</f>
        <v>4.05460197323963</v>
      </c>
      <c r="C9" s="13" t="n">
        <f aca="false">IF(C7=0,0,D7/C7)</f>
        <v>0.753366666666667</v>
      </c>
      <c r="D9" s="25" t="n">
        <f aca="false">C9-B9</f>
        <v>-3.30123530657296</v>
      </c>
      <c r="E9" s="25" t="n">
        <f aca="false">D9</f>
        <v>-3.30123530657296</v>
      </c>
      <c r="F9" s="26"/>
    </row>
    <row r="10" customFormat="false" ht="15" hidden="false" customHeight="true" outlineLevel="0" collapsed="false">
      <c r="A10" s="10" t="s">
        <v>100</v>
      </c>
      <c r="B10" s="21" t="n">
        <f aca="false">SUM(2_PL_Forecast!B16:D16)</f>
        <v>-1183.84</v>
      </c>
      <c r="C10" s="11" t="n">
        <v>-4800</v>
      </c>
      <c r="D10" s="18" t="n">
        <f aca="false">C10-B10</f>
        <v>-3616.16</v>
      </c>
      <c r="E10" s="25" t="n">
        <f aca="false">IF(B10=0,0,D10/ABS(B10))</f>
        <v>-3.05460197323963</v>
      </c>
      <c r="F10" s="26" t="s">
        <v>101</v>
      </c>
    </row>
    <row r="11" customFormat="false" ht="15" hidden="false" customHeight="true" outlineLevel="0" collapsed="false">
      <c r="A11" s="10" t="s">
        <v>102</v>
      </c>
      <c r="B11" s="21" t="n">
        <f aca="false">SUM(2_PL_Forecast!B17:D17)</f>
        <v>-887.88</v>
      </c>
      <c r="C11" s="11" t="n">
        <v>-3600</v>
      </c>
      <c r="D11" s="18" t="n">
        <f aca="false">C11-B11</f>
        <v>-2712.12</v>
      </c>
      <c r="E11" s="25" t="n">
        <f aca="false">IF(B11=0,0,D11/ABS(B11))</f>
        <v>-3.05460197323963</v>
      </c>
      <c r="F11" s="26"/>
    </row>
    <row r="12" customFormat="false" ht="15" hidden="false" customHeight="true" outlineLevel="0" collapsed="false">
      <c r="A12" s="10" t="s">
        <v>82</v>
      </c>
      <c r="B12" s="21" t="n">
        <f aca="false">SUM(2_PL_Forecast!B18:D18)</f>
        <v>-150</v>
      </c>
      <c r="C12" s="11" t="n">
        <v>-150</v>
      </c>
      <c r="D12" s="18" t="n">
        <f aca="false">C12-B12</f>
        <v>0</v>
      </c>
      <c r="E12" s="25" t="n">
        <f aca="false">IF(B12=0,0,D12/ABS(B12))</f>
        <v>0</v>
      </c>
      <c r="F12" s="26"/>
    </row>
    <row r="13" customFormat="false" ht="15" hidden="false" customHeight="true" outlineLevel="0" collapsed="false">
      <c r="A13" s="20" t="s">
        <v>103</v>
      </c>
      <c r="B13" s="27" t="n">
        <f aca="false">SUM(2_PL_Forecast!B22:D22)</f>
        <v>2957.58</v>
      </c>
      <c r="C13" s="11" t="n">
        <v>10950</v>
      </c>
      <c r="D13" s="19" t="n">
        <f aca="false">C13-B13</f>
        <v>7992.42</v>
      </c>
      <c r="E13" s="28" t="n">
        <f aca="false">IF(B13=0,0,D13/ABS(B13))</f>
        <v>2.70235124662731</v>
      </c>
      <c r="F13" s="26"/>
    </row>
    <row r="14" customFormat="false" ht="15" hidden="false" customHeight="true" outlineLevel="0" collapsed="false">
      <c r="A14" s="10" t="s">
        <v>104</v>
      </c>
      <c r="B14" s="25" t="n">
        <f aca="false">IF(B7=0,0,C10/B7)</f>
        <v>0.499027935167954</v>
      </c>
      <c r="C14" s="13" t="n">
        <f aca="false">IF(C7=0,0,D10/C7)</f>
        <v>0.0927220512820513</v>
      </c>
      <c r="D14" s="25" t="n">
        <f aca="false">C14-B14</f>
        <v>-0.406305883885903</v>
      </c>
      <c r="E14" s="25" t="n">
        <f aca="false">D14</f>
        <v>-0.406305883885903</v>
      </c>
      <c r="F14" s="26"/>
    </row>
    <row r="15" customFormat="false" ht="15" hidden="false" customHeight="true" outlineLevel="0" collapsed="false">
      <c r="A15" s="10" t="s">
        <v>87</v>
      </c>
      <c r="B15" s="21" t="n">
        <f aca="false">SUM(2_PL_Forecast!B24:D24)</f>
        <v>-100</v>
      </c>
      <c r="C15" s="11" t="n">
        <v>-100</v>
      </c>
      <c r="D15" s="18" t="n">
        <f aca="false">C15-B15</f>
        <v>0</v>
      </c>
      <c r="E15" s="25" t="n">
        <f aca="false">IF(B15=0,0,D15/ABS(B15))</f>
        <v>0</v>
      </c>
      <c r="F15" s="26"/>
    </row>
    <row r="16" customFormat="false" ht="15" hidden="false" customHeight="true" outlineLevel="0" collapsed="false">
      <c r="A16" s="20" t="s">
        <v>90</v>
      </c>
      <c r="B16" s="27" t="n">
        <f aca="false">SUM(2_PL_Forecast!B27:D27)</f>
        <v>2286.064</v>
      </c>
      <c r="C16" s="11" t="n">
        <v>10850</v>
      </c>
      <c r="D16" s="19" t="n">
        <f aca="false">C16-B16</f>
        <v>8563.936</v>
      </c>
      <c r="E16" s="28" t="n">
        <f aca="false">IF(B16=0,0,D16/ABS(B16))</f>
        <v>3.7461488392276</v>
      </c>
      <c r="F16" s="26"/>
    </row>
    <row r="17" customFormat="false" ht="15" hidden="false" customHeight="true" outlineLevel="0" collapsed="false">
      <c r="A17" s="10" t="s">
        <v>105</v>
      </c>
      <c r="B17" s="25" t="n">
        <f aca="false">IF(B7=0,0,C13/B7)</f>
        <v>-1.1384074771019</v>
      </c>
      <c r="C17" s="13" t="n">
        <f aca="false">IF(C7=0,0,D13/C7)</f>
        <v>-0.204933846153846</v>
      </c>
      <c r="D17" s="25" t="n">
        <f aca="false">C17-B17</f>
        <v>0.933473630948049</v>
      </c>
      <c r="E17" s="25" t="n">
        <f aca="false">D17</f>
        <v>0.933473630948049</v>
      </c>
      <c r="F17" s="26"/>
    </row>
    <row r="20" customFormat="false" ht="15" hidden="false" customHeight="true" outlineLevel="0" collapsed="false">
      <c r="A20" s="4" t="s">
        <v>106</v>
      </c>
      <c r="B20" s="4"/>
      <c r="C20" s="4"/>
      <c r="D20" s="4"/>
      <c r="E20" s="4"/>
      <c r="F20" s="4"/>
    </row>
  </sheetData>
  <mergeCells count="4">
    <mergeCell ref="A1:M1"/>
    <mergeCell ref="A2:M2"/>
    <mergeCell ref="A3:F3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5" min="2" style="1" width="14"/>
  </cols>
  <sheetData>
    <row r="1" customFormat="false" ht="24" hidden="false" customHeight="true" outlineLevel="0" collapsed="false">
      <c r="A1" s="2" t="s">
        <v>107</v>
      </c>
      <c r="B1" s="2"/>
      <c r="C1" s="2"/>
      <c r="D1" s="2"/>
      <c r="E1" s="2"/>
    </row>
    <row r="2" customFormat="false" ht="15" hidden="false" customHeight="true" outlineLevel="0" collapsed="false">
      <c r="A2" s="3" t="s">
        <v>108</v>
      </c>
      <c r="B2" s="3"/>
      <c r="C2" s="3"/>
      <c r="D2" s="3"/>
      <c r="E2" s="3"/>
    </row>
    <row r="4" customFormat="false" ht="15.75" hidden="false" customHeight="true" outlineLevel="0" collapsed="false">
      <c r="A4" s="6" t="s">
        <v>57</v>
      </c>
      <c r="B4" s="6" t="s">
        <v>61</v>
      </c>
      <c r="C4" s="6" t="s">
        <v>62</v>
      </c>
      <c r="D4" s="6" t="s">
        <v>63</v>
      </c>
      <c r="E4" s="6" t="s">
        <v>109</v>
      </c>
    </row>
    <row r="5" customFormat="false" ht="15" hidden="false" customHeight="true" outlineLevel="0" collapsed="false">
      <c r="A5" s="5" t="s">
        <v>110</v>
      </c>
      <c r="B5" s="5"/>
      <c r="C5" s="5"/>
      <c r="D5" s="5"/>
      <c r="E5" s="5"/>
    </row>
    <row r="6" customFormat="false" ht="15" hidden="false" customHeight="true" outlineLevel="0" collapsed="false">
      <c r="A6" s="20" t="s">
        <v>111</v>
      </c>
      <c r="B6" s="21" t="n">
        <f aca="false">1_Assumptions!B32</f>
        <v>2000</v>
      </c>
      <c r="C6" s="19" t="n">
        <f aca="false">E6</f>
        <v>2000</v>
      </c>
      <c r="D6" s="19" t="n">
        <f aca="false">E7</f>
        <v>0</v>
      </c>
      <c r="E6" s="19" t="n">
        <f aca="false">B6</f>
        <v>2000</v>
      </c>
    </row>
    <row r="8" customFormat="false" ht="15" hidden="false" customHeight="true" outlineLevel="0" collapsed="false">
      <c r="A8" s="5" t="s">
        <v>112</v>
      </c>
      <c r="B8" s="5"/>
      <c r="C8" s="5"/>
      <c r="D8" s="5"/>
      <c r="E8" s="5"/>
    </row>
    <row r="9" customFormat="false" ht="15" hidden="false" customHeight="true" outlineLevel="0" collapsed="false">
      <c r="A9" s="10" t="s">
        <v>113</v>
      </c>
      <c r="B9" s="21" t="n">
        <f aca="false">2_PL_Forecast!E27</f>
        <v>756.533333333333</v>
      </c>
      <c r="C9" s="21" t="n">
        <f aca="false">2_PL_Forecast!F27</f>
        <v>772.997333333333</v>
      </c>
      <c r="D9" s="21" t="n">
        <f aca="false">2_PL_Forecast!G27</f>
        <v>805.925333333334</v>
      </c>
      <c r="E9" s="19" t="n">
        <f aca="false">SUM(B9:D9)</f>
        <v>2335.456</v>
      </c>
    </row>
    <row r="10" customFormat="false" ht="15" hidden="false" customHeight="true" outlineLevel="0" collapsed="false">
      <c r="A10" s="10" t="s">
        <v>114</v>
      </c>
      <c r="B10" s="21" t="n">
        <f aca="false">2_PL_Forecast!E18*-1</f>
        <v>50</v>
      </c>
      <c r="C10" s="21" t="n">
        <f aca="false">2_PL_Forecast!F18*-1</f>
        <v>50</v>
      </c>
      <c r="D10" s="21" t="n">
        <f aca="false">2_PL_Forecast!G18*-1</f>
        <v>50</v>
      </c>
      <c r="E10" s="19" t="n">
        <f aca="false">SUM(B10:D10)</f>
        <v>150</v>
      </c>
    </row>
    <row r="11" customFormat="false" ht="15" hidden="false" customHeight="true" outlineLevel="0" collapsed="false">
      <c r="A11" s="10" t="s">
        <v>115</v>
      </c>
      <c r="B11" s="21" t="n">
        <f aca="false">-2_PL_Forecast!E8/1_Assumptions!B29*30</f>
        <v>-3266.66666666667</v>
      </c>
      <c r="C11" s="21" t="n">
        <f aca="false">-2_PL_Forecast!F8/1_Assumptions!B29*30</f>
        <v>-3332</v>
      </c>
      <c r="D11" s="21" t="n">
        <f aca="false">-2_PL_Forecast!G8/1_Assumptions!B29*30</f>
        <v>-3462.66666666667</v>
      </c>
      <c r="E11" s="19" t="n">
        <f aca="false">SUM(B11:D11)</f>
        <v>-10061.3333333333</v>
      </c>
    </row>
    <row r="12" customFormat="false" ht="15" hidden="false" customHeight="true" outlineLevel="0" collapsed="false">
      <c r="A12" s="10" t="s">
        <v>116</v>
      </c>
      <c r="B12" s="21" t="n">
        <f aca="false">2_PL_Forecast!E11*-1/1_Assumptions!B30*30</f>
        <v>3185</v>
      </c>
      <c r="C12" s="21" t="n">
        <f aca="false">2_PL_Forecast!F11*-1/1_Assumptions!B30*30</f>
        <v>3248.7</v>
      </c>
      <c r="D12" s="21" t="n">
        <f aca="false">2_PL_Forecast!G11*-1/1_Assumptions!B30*30</f>
        <v>3376.1</v>
      </c>
      <c r="E12" s="19" t="n">
        <f aca="false">SUM(B12:D12)</f>
        <v>9809.8</v>
      </c>
    </row>
    <row r="13" customFormat="false" ht="15" hidden="false" customHeight="true" outlineLevel="0" collapsed="false">
      <c r="A13" s="20" t="s">
        <v>117</v>
      </c>
      <c r="B13" s="19" t="n">
        <f aca="false">B9+B10+B11+B12</f>
        <v>724.866666666667</v>
      </c>
      <c r="C13" s="19" t="n">
        <f aca="false">C9+C10+C11+C12</f>
        <v>739.697333333333</v>
      </c>
      <c r="D13" s="19" t="n">
        <f aca="false">D9+D10+D11+D12</f>
        <v>769.358666666667</v>
      </c>
      <c r="E13" s="19" t="n">
        <f aca="false">SUM(B13:D13)</f>
        <v>2233.92266666667</v>
      </c>
    </row>
    <row r="15" customFormat="false" ht="15" hidden="false" customHeight="true" outlineLevel="0" collapsed="false">
      <c r="A15" s="5" t="s">
        <v>118</v>
      </c>
      <c r="B15" s="5"/>
      <c r="C15" s="5"/>
      <c r="D15" s="5"/>
      <c r="E15" s="5"/>
    </row>
    <row r="16" customFormat="false" ht="15" hidden="false" customHeight="true" outlineLevel="0" collapsed="false">
      <c r="A16" s="10" t="s">
        <v>119</v>
      </c>
      <c r="B16" s="21" t="n">
        <f aca="false">-1_Assumptions!B33/12</f>
        <v>-41.6666666666667</v>
      </c>
      <c r="C16" s="21" t="n">
        <f aca="false">-1_Assumptions!B33/12</f>
        <v>-41.6666666666667</v>
      </c>
      <c r="D16" s="21" t="n">
        <f aca="false">-1_Assumptions!B33/12</f>
        <v>-41.6666666666667</v>
      </c>
      <c r="E16" s="19" t="n">
        <f aca="false">SUM(B16:D16)</f>
        <v>-125</v>
      </c>
    </row>
    <row r="17" customFormat="false" ht="15" hidden="false" customHeight="true" outlineLevel="0" collapsed="false">
      <c r="A17" s="20" t="s">
        <v>120</v>
      </c>
      <c r="B17" s="19" t="n">
        <f aca="false">B16</f>
        <v>-41.6666666666667</v>
      </c>
      <c r="C17" s="19" t="n">
        <f aca="false">C16</f>
        <v>-41.6666666666667</v>
      </c>
      <c r="D17" s="19" t="n">
        <f aca="false">D16</f>
        <v>-41.6666666666667</v>
      </c>
      <c r="E17" s="19" t="n">
        <f aca="false">SUM(B17:D17)</f>
        <v>-125</v>
      </c>
    </row>
    <row r="19" customFormat="false" ht="15" hidden="false" customHeight="true" outlineLevel="0" collapsed="false">
      <c r="A19" s="5" t="s">
        <v>121</v>
      </c>
      <c r="B19" s="5"/>
      <c r="C19" s="5"/>
      <c r="D19" s="5"/>
      <c r="E19" s="5"/>
    </row>
    <row r="20" customFormat="false" ht="15" hidden="false" customHeight="true" outlineLevel="0" collapsed="false">
      <c r="A20" s="10" t="s">
        <v>122</v>
      </c>
      <c r="B20" s="11" t="n">
        <v>-200</v>
      </c>
      <c r="C20" s="11" t="n">
        <v>-200</v>
      </c>
      <c r="D20" s="11" t="n">
        <v>-200</v>
      </c>
      <c r="E20" s="19" t="n">
        <f aca="false">SUM(B20:D20)</f>
        <v>-600</v>
      </c>
    </row>
    <row r="21" customFormat="false" ht="15" hidden="false" customHeight="true" outlineLevel="0" collapsed="false">
      <c r="A21" s="20" t="s">
        <v>123</v>
      </c>
      <c r="B21" s="19" t="n">
        <f aca="false">B20</f>
        <v>-200</v>
      </c>
      <c r="C21" s="19" t="n">
        <f aca="false">C20</f>
        <v>-200</v>
      </c>
      <c r="D21" s="19" t="n">
        <f aca="false">D20</f>
        <v>-200</v>
      </c>
      <c r="E21" s="19" t="n">
        <f aca="false">SUM(B21:D21)</f>
        <v>-600</v>
      </c>
    </row>
    <row r="23" customFormat="false" ht="15" hidden="false" customHeight="true" outlineLevel="0" collapsed="false">
      <c r="A23" s="5" t="s">
        <v>124</v>
      </c>
      <c r="B23" s="5"/>
      <c r="C23" s="5"/>
      <c r="D23" s="5"/>
      <c r="E23" s="5"/>
    </row>
    <row r="24" customFormat="false" ht="15" hidden="false" customHeight="true" outlineLevel="0" collapsed="false">
      <c r="A24" s="20" t="s">
        <v>125</v>
      </c>
      <c r="B24" s="19" t="n">
        <f aca="false">B13+B17+B21</f>
        <v>483.2</v>
      </c>
      <c r="C24" s="19" t="n">
        <f aca="false">C13+C17+C21</f>
        <v>498.030666666666</v>
      </c>
      <c r="D24" s="19" t="n">
        <f aca="false">D13+D17+D21</f>
        <v>527.692</v>
      </c>
      <c r="E24" s="19" t="n">
        <f aca="false">SUM(B24:D24)</f>
        <v>1508.92266666667</v>
      </c>
    </row>
    <row r="25" customFormat="false" ht="15" hidden="false" customHeight="true" outlineLevel="0" collapsed="false">
      <c r="A25" s="20" t="s">
        <v>126</v>
      </c>
      <c r="B25" s="19" t="n">
        <f aca="false">B6+B24</f>
        <v>2483.2</v>
      </c>
      <c r="C25" s="19" t="n">
        <f aca="false">C6+C24</f>
        <v>2498.03066666667</v>
      </c>
      <c r="D25" s="19" t="n">
        <f aca="false">D6+D24</f>
        <v>527.692</v>
      </c>
      <c r="E25" s="19" t="n">
        <f aca="false">D25</f>
        <v>527.692</v>
      </c>
    </row>
  </sheetData>
  <mergeCells count="7">
    <mergeCell ref="A1:E1"/>
    <mergeCell ref="A2:E2"/>
    <mergeCell ref="A5:E5"/>
    <mergeCell ref="A8:E8"/>
    <mergeCell ref="A15:E15"/>
    <mergeCell ref="A19:E19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5" min="2" style="1" width="18"/>
    <col collapsed="false" customWidth="true" hidden="false" outlineLevel="0" max="6" min="6" style="1" width="22"/>
  </cols>
  <sheetData>
    <row r="1" customFormat="false" ht="27.75" hidden="false" customHeight="true" outlineLevel="0" collapsed="false">
      <c r="A1" s="29" t="s">
        <v>127</v>
      </c>
      <c r="B1" s="29"/>
      <c r="C1" s="29"/>
      <c r="D1" s="29"/>
      <c r="E1" s="29"/>
      <c r="F1" s="29"/>
    </row>
    <row r="2" customFormat="false" ht="15" hidden="false" customHeight="true" outlineLevel="0" collapsed="false">
      <c r="A2" s="3" t="s">
        <v>128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5" t="s">
        <v>129</v>
      </c>
      <c r="B4" s="5"/>
      <c r="C4" s="5"/>
      <c r="D4" s="5"/>
      <c r="E4" s="5"/>
      <c r="F4" s="5"/>
    </row>
    <row r="5" customFormat="false" ht="15" hidden="false" customHeight="true" outlineLevel="0" collapsed="false">
      <c r="A5" s="30" t="s">
        <v>130</v>
      </c>
      <c r="B5" s="30" t="s">
        <v>24</v>
      </c>
      <c r="C5" s="30" t="s">
        <v>103</v>
      </c>
      <c r="D5" s="30" t="s">
        <v>90</v>
      </c>
    </row>
    <row r="6" customFormat="false" ht="30" hidden="false" customHeight="true" outlineLevel="0" collapsed="false">
      <c r="A6" s="31" t="n">
        <f aca="false">2_PL_Forecast!N8</f>
        <v>60270</v>
      </c>
      <c r="B6" s="32" t="n">
        <f aca="false">2_PL_Forecast!N12/2_PL_Forecast!N8</f>
        <v>0.35</v>
      </c>
      <c r="C6" s="31" t="n">
        <f aca="false">2_PL_Forecast!N22</f>
        <v>12056.7</v>
      </c>
      <c r="D6" s="31" t="n">
        <f aca="false">2_PL_Forecast!N27</f>
        <v>9325.36</v>
      </c>
    </row>
    <row r="7" customFormat="false" ht="15" hidden="false" customHeight="true" outlineLevel="0" collapsed="false">
      <c r="A7" s="33" t="s">
        <v>70</v>
      </c>
      <c r="B7" s="33" t="s">
        <v>70</v>
      </c>
      <c r="C7" s="33" t="s">
        <v>70</v>
      </c>
      <c r="D7" s="33" t="s">
        <v>70</v>
      </c>
    </row>
    <row r="9" customFormat="false" ht="15" hidden="false" customHeight="true" outlineLevel="0" collapsed="false">
      <c r="A9" s="5" t="s">
        <v>131</v>
      </c>
      <c r="B9" s="5"/>
      <c r="C9" s="5"/>
      <c r="D9" s="5"/>
      <c r="E9" s="5"/>
      <c r="F9" s="5"/>
    </row>
    <row r="10" customFormat="false" ht="15" hidden="false" customHeight="true" outlineLevel="0" collapsed="false">
      <c r="A10" s="6" t="s">
        <v>132</v>
      </c>
      <c r="B10" s="6" t="s">
        <v>58</v>
      </c>
      <c r="C10" s="6" t="s">
        <v>59</v>
      </c>
      <c r="D10" s="6" t="s">
        <v>60</v>
      </c>
      <c r="E10" s="6" t="s">
        <v>61</v>
      </c>
      <c r="F10" s="6" t="s">
        <v>62</v>
      </c>
      <c r="G10" s="6" t="s">
        <v>63</v>
      </c>
      <c r="H10" s="6" t="s">
        <v>64</v>
      </c>
      <c r="I10" s="6" t="s">
        <v>65</v>
      </c>
      <c r="J10" s="6" t="s">
        <v>66</v>
      </c>
      <c r="K10" s="6" t="s">
        <v>67</v>
      </c>
      <c r="L10" s="6" t="s">
        <v>68</v>
      </c>
      <c r="M10" s="6" t="s">
        <v>69</v>
      </c>
    </row>
    <row r="11" customFormat="false" ht="15" hidden="false" customHeight="true" outlineLevel="0" collapsed="false">
      <c r="A11" s="34" t="s">
        <v>74</v>
      </c>
      <c r="B11" s="21" t="n">
        <f aca="false">2_PL_Forecast!B8</f>
        <v>4704</v>
      </c>
      <c r="C11" s="21" t="n">
        <f aca="false">2_PL_Forecast!C8</f>
        <v>4998</v>
      </c>
      <c r="D11" s="21" t="n">
        <f aca="false">2_PL_Forecast!D8</f>
        <v>5096</v>
      </c>
      <c r="E11" s="21" t="n">
        <f aca="false">2_PL_Forecast!E8</f>
        <v>4900</v>
      </c>
      <c r="F11" s="21" t="n">
        <f aca="false">2_PL_Forecast!F8</f>
        <v>4998</v>
      </c>
      <c r="G11" s="21" t="n">
        <f aca="false">2_PL_Forecast!G8</f>
        <v>5194</v>
      </c>
      <c r="H11" s="21" t="n">
        <f aca="false">2_PL_Forecast!H8</f>
        <v>5390</v>
      </c>
      <c r="I11" s="21" t="n">
        <f aca="false">2_PL_Forecast!I8</f>
        <v>5096</v>
      </c>
      <c r="J11" s="21" t="n">
        <f aca="false">2_PL_Forecast!J8</f>
        <v>4900</v>
      </c>
      <c r="K11" s="21" t="n">
        <f aca="false">2_PL_Forecast!K8</f>
        <v>4802</v>
      </c>
      <c r="L11" s="21" t="n">
        <f aca="false">2_PL_Forecast!L8</f>
        <v>4998</v>
      </c>
      <c r="M11" s="21" t="n">
        <f aca="false">2_PL_Forecast!M8</f>
        <v>5194</v>
      </c>
    </row>
    <row r="12" customFormat="false" ht="15" hidden="false" customHeight="true" outlineLevel="0" collapsed="false">
      <c r="A12" s="34" t="s">
        <v>77</v>
      </c>
      <c r="B12" s="21" t="n">
        <f aca="false">2_PL_Forecast!B12</f>
        <v>1646.4</v>
      </c>
      <c r="C12" s="21" t="n">
        <f aca="false">2_PL_Forecast!C12</f>
        <v>1749.3</v>
      </c>
      <c r="D12" s="21" t="n">
        <f aca="false">2_PL_Forecast!D12</f>
        <v>1783.6</v>
      </c>
      <c r="E12" s="21" t="n">
        <f aca="false">2_PL_Forecast!E12</f>
        <v>1715</v>
      </c>
      <c r="F12" s="21" t="n">
        <f aca="false">2_PL_Forecast!F12</f>
        <v>1749.3</v>
      </c>
      <c r="G12" s="21" t="n">
        <f aca="false">2_PL_Forecast!G12</f>
        <v>1817.9</v>
      </c>
      <c r="H12" s="21" t="n">
        <f aca="false">2_PL_Forecast!H12</f>
        <v>1886.5</v>
      </c>
      <c r="I12" s="21" t="n">
        <f aca="false">2_PL_Forecast!I12</f>
        <v>1783.6</v>
      </c>
      <c r="J12" s="21" t="n">
        <f aca="false">2_PL_Forecast!J12</f>
        <v>1715</v>
      </c>
      <c r="K12" s="21" t="n">
        <f aca="false">2_PL_Forecast!K12</f>
        <v>1680.7</v>
      </c>
      <c r="L12" s="21" t="n">
        <f aca="false">2_PL_Forecast!L12</f>
        <v>1749.3</v>
      </c>
      <c r="M12" s="21" t="n">
        <f aca="false">2_PL_Forecast!M12</f>
        <v>1817.9</v>
      </c>
    </row>
    <row r="13" customFormat="false" ht="15" hidden="false" customHeight="true" outlineLevel="0" collapsed="false">
      <c r="A13" s="35" t="s">
        <v>90</v>
      </c>
      <c r="B13" s="36" t="n">
        <f aca="false">2_PL_Forecast!B27</f>
        <v>723.605333333333</v>
      </c>
      <c r="C13" s="36" t="n">
        <f aca="false">2_PL_Forecast!C27</f>
        <v>772.997333333333</v>
      </c>
      <c r="D13" s="36" t="n">
        <f aca="false">2_PL_Forecast!D27</f>
        <v>789.461333333333</v>
      </c>
      <c r="E13" s="36" t="n">
        <f aca="false">2_PL_Forecast!E27</f>
        <v>756.533333333333</v>
      </c>
      <c r="F13" s="36" t="n">
        <f aca="false">2_PL_Forecast!F27</f>
        <v>772.997333333333</v>
      </c>
      <c r="G13" s="36" t="n">
        <f aca="false">2_PL_Forecast!G27</f>
        <v>805.925333333334</v>
      </c>
      <c r="H13" s="36" t="n">
        <f aca="false">2_PL_Forecast!H27</f>
        <v>838.853333333334</v>
      </c>
      <c r="I13" s="36" t="n">
        <f aca="false">2_PL_Forecast!I27</f>
        <v>789.461333333333</v>
      </c>
      <c r="J13" s="36" t="n">
        <f aca="false">2_PL_Forecast!J27</f>
        <v>756.533333333333</v>
      </c>
      <c r="K13" s="36" t="n">
        <f aca="false">2_PL_Forecast!K27</f>
        <v>740.069333333333</v>
      </c>
      <c r="L13" s="36" t="n">
        <f aca="false">2_PL_Forecast!L27</f>
        <v>772.997333333333</v>
      </c>
      <c r="M13" s="36" t="n">
        <f aca="false">2_PL_Forecast!M27</f>
        <v>805.925333333334</v>
      </c>
    </row>
    <row r="15" customFormat="false" ht="15" hidden="false" customHeight="true" outlineLevel="0" collapsed="false">
      <c r="A15" s="5" t="s">
        <v>133</v>
      </c>
      <c r="B15" s="5"/>
      <c r="C15" s="5"/>
      <c r="D15" s="5"/>
      <c r="E15" s="5"/>
      <c r="F15" s="5"/>
    </row>
    <row r="16" customFormat="false" ht="15" hidden="false" customHeight="true" outlineLevel="0" collapsed="false">
      <c r="A16" s="24" t="s">
        <v>134</v>
      </c>
      <c r="B16" s="24" t="s">
        <v>135</v>
      </c>
      <c r="C16" s="24" t="s">
        <v>136</v>
      </c>
      <c r="D16" s="24" t="s">
        <v>137</v>
      </c>
      <c r="E16" s="24" t="s">
        <v>98</v>
      </c>
    </row>
    <row r="17" customFormat="false" ht="15" hidden="false" customHeight="true" outlineLevel="0" collapsed="false">
      <c r="A17" s="10" t="s">
        <v>74</v>
      </c>
      <c r="B17" s="21" t="n">
        <f aca="false">3_Variance_Analysis!B6</f>
        <v>14798</v>
      </c>
      <c r="C17" s="21" t="n">
        <f aca="false">3_Variance_Analysis!C6</f>
        <v>58500</v>
      </c>
      <c r="D17" s="21" t="n">
        <f aca="false">3_Variance_Analysis!D6</f>
        <v>43702</v>
      </c>
      <c r="E17" s="37" t="n">
        <f aca="false">3_Variance_Analysis!E6</f>
        <v>2.95323692390864</v>
      </c>
    </row>
    <row r="18" customFormat="false" ht="15" hidden="false" customHeight="true" outlineLevel="0" collapsed="false">
      <c r="A18" s="10" t="s">
        <v>77</v>
      </c>
      <c r="B18" s="21" t="n">
        <f aca="false">3_Variance_Analysis!B8</f>
        <v>5179.3</v>
      </c>
      <c r="C18" s="21" t="n">
        <f aca="false">3_Variance_Analysis!C8</f>
        <v>19500</v>
      </c>
      <c r="D18" s="21" t="n">
        <f aca="false">3_Variance_Analysis!D8</f>
        <v>14320.7</v>
      </c>
      <c r="E18" s="37" t="n">
        <f aca="false">3_Variance_Analysis!E8</f>
        <v>2.76498754657965</v>
      </c>
    </row>
    <row r="19" customFormat="false" ht="15" hidden="false" customHeight="true" outlineLevel="0" collapsed="false">
      <c r="A19" s="20" t="s">
        <v>90</v>
      </c>
      <c r="B19" s="27" t="n">
        <f aca="false">3_Variance_Analysis!B14</f>
        <v>0.499027935167954</v>
      </c>
      <c r="C19" s="27" t="n">
        <f aca="false">3_Variance_Analysis!C14</f>
        <v>0.0927220512820513</v>
      </c>
      <c r="D19" s="27" t="n">
        <f aca="false">3_Variance_Analysis!D14</f>
        <v>-0.406305883885903</v>
      </c>
      <c r="E19" s="38" t="n">
        <f aca="false">3_Variance_Analysis!E14</f>
        <v>-0.406305883885903</v>
      </c>
    </row>
    <row r="21" customFormat="false" ht="15" hidden="false" customHeight="true" outlineLevel="0" collapsed="false">
      <c r="A21" s="5" t="s">
        <v>138</v>
      </c>
      <c r="B21" s="5"/>
      <c r="C21" s="5"/>
      <c r="D21" s="5"/>
      <c r="E21" s="5"/>
      <c r="F21" s="5"/>
    </row>
    <row r="22" customFormat="false" ht="15" hidden="false" customHeight="true" outlineLevel="0" collapsed="false">
      <c r="A22" s="10" t="s">
        <v>139</v>
      </c>
      <c r="B22" s="21" t="n">
        <f aca="false">4_CashFlow_Forecast!B6</f>
        <v>2000</v>
      </c>
    </row>
    <row r="23" customFormat="false" ht="15" hidden="false" customHeight="true" outlineLevel="0" collapsed="false">
      <c r="A23" s="10" t="s">
        <v>140</v>
      </c>
      <c r="B23" s="21" t="n">
        <f aca="false">4_CashFlow_Forecast!B24</f>
        <v>483.2</v>
      </c>
    </row>
    <row r="24" customFormat="false" ht="15" hidden="false" customHeight="true" outlineLevel="0" collapsed="false">
      <c r="A24" s="10" t="s">
        <v>141</v>
      </c>
      <c r="B24" s="21" t="n">
        <f aca="false">4_CashFlow_Forecast!B25</f>
        <v>2483.2</v>
      </c>
    </row>
    <row r="25" customFormat="false" ht="15" hidden="false" customHeight="true" outlineLevel="0" collapsed="false">
      <c r="A25" s="10" t="s">
        <v>142</v>
      </c>
      <c r="B25" s="21" t="n">
        <f aca="false">4_CashFlow_Forecast!C25</f>
        <v>2498.03066666667</v>
      </c>
    </row>
    <row r="26" customFormat="false" ht="15" hidden="false" customHeight="true" outlineLevel="0" collapsed="false">
      <c r="A26" s="10" t="s">
        <v>143</v>
      </c>
      <c r="B26" s="21" t="n">
        <f aca="false">4_CashFlow_Forecast!D25</f>
        <v>527.692</v>
      </c>
    </row>
  </sheetData>
  <mergeCells count="6">
    <mergeCell ref="A1:F1"/>
    <mergeCell ref="A2:F2"/>
    <mergeCell ref="A4:F4"/>
    <mergeCell ref="A9:F9"/>
    <mergeCell ref="A15:F15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2026-06-09T02:34:01Z</dcterms:created>
  <dc:creator>openpyxl</dc:creator>
  <dc:description/>
  <dc:language>en-US</dc:language>
  <cp:lastModifiedBy/>
  <dcterms:modified xsi:type="dcterms:W3CDTF">2026-06-09T02:34:29Z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